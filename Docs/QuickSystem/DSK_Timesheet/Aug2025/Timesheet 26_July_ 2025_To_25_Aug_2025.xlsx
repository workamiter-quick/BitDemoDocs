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bitdemo\QuickSystem\DSK_Timesheet\Aug2025\"/>
    </mc:Choice>
  </mc:AlternateContent>
  <xr:revisionPtr revIDLastSave="0" documentId="13_ncr:1_{80509F10-0B46-475C-BAC1-85043E5B9E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4" r:id="rId1"/>
    <sheet name="Timesheet" sheetId="1" r:id="rId2"/>
  </sheets>
  <definedNames>
    <definedName name="_xlnm.Print_Area" localSheetId="1">Timesheet!$A$1:$V$47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P24" i="1"/>
  <c r="Q24" i="1"/>
  <c r="R9" i="1"/>
  <c r="S9" i="1"/>
  <c r="B9" i="1"/>
  <c r="D9" i="1"/>
  <c r="F9" i="1"/>
  <c r="H9" i="1"/>
  <c r="C9" i="1"/>
  <c r="E9" i="1"/>
  <c r="G9" i="1"/>
  <c r="I9" i="1"/>
  <c r="K9" i="1"/>
  <c r="M9" i="1"/>
  <c r="J9" i="1"/>
  <c r="L9" i="1"/>
  <c r="N9" i="1"/>
  <c r="P9" i="1"/>
  <c r="Q9" i="1"/>
  <c r="O9" i="1"/>
  <c r="P39" i="1" l="1"/>
  <c r="T31" i="1"/>
  <c r="T30" i="1"/>
  <c r="T29" i="1"/>
  <c r="T28" i="1"/>
  <c r="T27" i="1"/>
  <c r="T26" i="1"/>
  <c r="T25" i="1"/>
  <c r="T23" i="1"/>
  <c r="T22" i="1"/>
  <c r="T16" i="1"/>
  <c r="T15" i="1"/>
  <c r="T14" i="1"/>
  <c r="T13" i="1"/>
  <c r="T12" i="1"/>
  <c r="T11" i="1"/>
  <c r="T10" i="1"/>
  <c r="T8" i="1"/>
  <c r="T7" i="1"/>
  <c r="L35" i="1" l="1"/>
  <c r="M35" i="1" s="1"/>
  <c r="P35" i="1" s="1"/>
  <c r="L37" i="1"/>
  <c r="M37" i="1" s="1"/>
  <c r="P37" i="1" s="1"/>
  <c r="R24" i="1"/>
  <c r="N24" i="1"/>
  <c r="M24" i="1"/>
  <c r="L24" i="1"/>
  <c r="K24" i="1"/>
  <c r="B4" i="1"/>
  <c r="C24" i="1"/>
  <c r="B24" i="1"/>
  <c r="G36" i="1"/>
  <c r="H36" i="1" s="1"/>
  <c r="G37" i="1"/>
  <c r="H37" i="1" s="1"/>
  <c r="G35" i="1"/>
  <c r="H35" i="1" s="1"/>
  <c r="D24" i="1"/>
  <c r="E24" i="1"/>
  <c r="F24" i="1"/>
  <c r="G24" i="1"/>
  <c r="H24" i="1"/>
  <c r="I24" i="1"/>
  <c r="J24" i="1"/>
  <c r="G38" i="1"/>
  <c r="H38" i="1" s="1"/>
  <c r="G39" i="1"/>
  <c r="H39" i="1" s="1"/>
  <c r="C4" i="1" l="1"/>
  <c r="B3" i="1"/>
  <c r="R32" i="1"/>
  <c r="O17" i="1"/>
  <c r="K32" i="1"/>
  <c r="T24" i="1"/>
  <c r="D32" i="1"/>
  <c r="T9" i="1"/>
  <c r="H17" i="1"/>
  <c r="D4" i="1" l="1"/>
  <c r="C3" i="1"/>
  <c r="B35" i="1"/>
  <c r="C35" i="1" s="1"/>
  <c r="E4" i="1" l="1"/>
  <c r="D3" i="1"/>
  <c r="F4" i="1" l="1"/>
  <c r="E3" i="1"/>
  <c r="G4" i="1" l="1"/>
  <c r="F3" i="1"/>
  <c r="H4" i="1" l="1"/>
  <c r="G3" i="1"/>
  <c r="I4" i="1" l="1"/>
  <c r="H3" i="1"/>
  <c r="I3" i="1" l="1"/>
  <c r="J4" i="1"/>
  <c r="K4" i="1" l="1"/>
  <c r="J3" i="1"/>
  <c r="L4" i="1" l="1"/>
  <c r="K3" i="1"/>
  <c r="M4" i="1" l="1"/>
  <c r="L3" i="1"/>
  <c r="N4" i="1" l="1"/>
  <c r="M3" i="1"/>
  <c r="O4" i="1" l="1"/>
  <c r="N3" i="1"/>
  <c r="P4" i="1" l="1"/>
  <c r="O3" i="1"/>
  <c r="Q4" i="1" l="1"/>
  <c r="P3" i="1"/>
  <c r="R4" i="1" l="1"/>
  <c r="Q3" i="1"/>
  <c r="S4" i="1" l="1"/>
  <c r="R3" i="1"/>
  <c r="B19" i="1" l="1"/>
  <c r="S3" i="1"/>
  <c r="C19" i="1" l="1"/>
  <c r="B18" i="1"/>
  <c r="D19" i="1" l="1"/>
  <c r="C18" i="1"/>
  <c r="E19" i="1" l="1"/>
  <c r="D18" i="1"/>
  <c r="F19" i="1" l="1"/>
  <c r="E18" i="1"/>
  <c r="G19" i="1" l="1"/>
  <c r="F18" i="1"/>
  <c r="H19" i="1" l="1"/>
  <c r="G18" i="1"/>
  <c r="I19" i="1" l="1"/>
  <c r="H18" i="1"/>
  <c r="J19" i="1" l="1"/>
  <c r="I18" i="1"/>
  <c r="K19" i="1" l="1"/>
  <c r="J18" i="1"/>
  <c r="L19" i="1" l="1"/>
  <c r="K18" i="1"/>
  <c r="M19" i="1" l="1"/>
  <c r="L18" i="1"/>
  <c r="N19" i="1" l="1"/>
  <c r="M18" i="1"/>
  <c r="O19" i="1" l="1"/>
  <c r="N18" i="1"/>
  <c r="P19" i="1" l="1"/>
  <c r="O18" i="1"/>
  <c r="Q19" i="1" l="1"/>
  <c r="P18" i="1"/>
  <c r="R19" i="1" l="1"/>
  <c r="R18" i="1" s="1"/>
  <c r="Q18" i="1"/>
</calcChain>
</file>

<file path=xl/sharedStrings.xml><?xml version="1.0" encoding="utf-8"?>
<sst xmlns="http://schemas.openxmlformats.org/spreadsheetml/2006/main" count="106" uniqueCount="75">
  <si>
    <t xml:space="preserve">Contractor's </t>
  </si>
  <si>
    <r>
      <t xml:space="preserve"> </t>
    </r>
    <r>
      <rPr>
        <b/>
        <u/>
        <sz val="14"/>
        <rFont val="Arial"/>
        <family val="2"/>
      </rPr>
      <t>TIME RECORDING DOCUMENT</t>
    </r>
  </si>
  <si>
    <t xml:space="preserve">Name: </t>
  </si>
  <si>
    <t>Client :</t>
  </si>
  <si>
    <t xml:space="preserve">                </t>
  </si>
  <si>
    <t>DATE</t>
  </si>
  <si>
    <t>Start:           HH:MM</t>
  </si>
  <si>
    <t>End              HH:MM</t>
  </si>
  <si>
    <t>SUB TOTAL</t>
  </si>
  <si>
    <t>Lunch</t>
  </si>
  <si>
    <t>Time not worked</t>
  </si>
  <si>
    <t>Not Worked</t>
  </si>
  <si>
    <t>Normal Hours</t>
  </si>
  <si>
    <t>Normal</t>
  </si>
  <si>
    <t>Additional Hrs @ 1.0</t>
  </si>
  <si>
    <t>1.0</t>
  </si>
  <si>
    <t>Additional Hrs @ 1.2</t>
  </si>
  <si>
    <t>Additional Hrs @ 1.33</t>
  </si>
  <si>
    <t>Additional Hrs @ 1.5</t>
  </si>
  <si>
    <t>Additional Hrs @ 2.0</t>
  </si>
  <si>
    <t>Callout Hours</t>
  </si>
  <si>
    <t>Callout</t>
  </si>
  <si>
    <t xml:space="preserve">Standby </t>
  </si>
  <si>
    <t>Standby</t>
  </si>
  <si>
    <t>Weekly Authorisation</t>
  </si>
  <si>
    <t xml:space="preserve"> </t>
  </si>
  <si>
    <t>Standby Hours</t>
  </si>
  <si>
    <t>Total</t>
  </si>
  <si>
    <t>TOTAL NORMAL HOURS</t>
  </si>
  <si>
    <t>ADDTNL HRS @ 1.0</t>
  </si>
  <si>
    <t>TOTAL CALLOUT HOURS</t>
  </si>
  <si>
    <t>Rands</t>
  </si>
  <si>
    <t>ADDTNL HRS @ 1.2</t>
  </si>
  <si>
    <t>@</t>
  </si>
  <si>
    <t>ADDTNL HRS @ 1.3</t>
  </si>
  <si>
    <t>TOTAL STANDBY HOURS</t>
  </si>
  <si>
    <t>ADDTNL HRS @ 1.5</t>
  </si>
  <si>
    <t>ADDTNL HRS @ 2.0</t>
  </si>
  <si>
    <t>Contractor Signature</t>
  </si>
  <si>
    <t>Instructions to fill in timesheet:</t>
  </si>
  <si>
    <t xml:space="preserve">    Additional Hrs @ 1.5. You would enter 3.5 or 2.25, etc as a decimal number.</t>
  </si>
  <si>
    <t xml:space="preserve">    your normal fee. This is only for clients who have a call-out policy and need it shown separately.</t>
  </si>
  <si>
    <t xml:space="preserve">     for clients who need to see exactly what days you were on standby. For other daily / weekly / monthly standby </t>
  </si>
  <si>
    <t xml:space="preserve">     totals, see number 16 below.</t>
  </si>
  <si>
    <t xml:space="preserve">     of each week. Because of the date flexibility, there are not specific blocks for signing.</t>
  </si>
  <si>
    <t xml:space="preserve">     Note : If your client requires weekly totals, there are extra columns on the timesheet so you can use one column </t>
  </si>
  <si>
    <t xml:space="preserve">     next to each week and put the total in the Weekly Authorisation row.</t>
  </si>
  <si>
    <t xml:space="preserve">     below. The total in rands should be entered in the block, if you are filling in manually.</t>
  </si>
  <si>
    <t xml:space="preserve">     block, in Rands.</t>
  </si>
  <si>
    <t xml:space="preserve">                                                 </t>
  </si>
  <si>
    <t>16) Both Contractor and Client to sign the Timesheet at the bottom.</t>
  </si>
  <si>
    <t xml:space="preserve">15) Standby Totals - Fill in number of days / weeks / months of Standby and the applicable rate, with the total in the </t>
  </si>
  <si>
    <t>14) Callout hours - please do NOT fill this in if you have put your hours in an Additional Hours block.</t>
  </si>
  <si>
    <t>13) Kilometers (Bottom of sheet on LHS) - Enter the kilometers travelled and the rand amount per kilometer one row</t>
  </si>
  <si>
    <t>12) For sheets without formulas, please add up your hours and transfer to the blocks at the bottom of the sheet.</t>
  </si>
  <si>
    <t>11) Sub-totals and monthly totals will be added up automatically in the sheets with formulas (Sheets 4,5,6)</t>
  </si>
  <si>
    <t>10) Weekly authorisation - (Optional - only if this is required by the Client). Client can initial or sign below the last day</t>
  </si>
  <si>
    <t xml:space="preserve">9) Standby amount - for sites where daily standby is applicable, can be entered in Rands or Hours. This row is </t>
  </si>
  <si>
    <t xml:space="preserve">8) Call out- only for hours that you worked when on call other than your normal working hours, even if you are paid at </t>
  </si>
  <si>
    <t xml:space="preserve">7) Additional Hours worked must be filled in, in the appropriate row as a number of hours worked. eg. Time and a half = </t>
  </si>
  <si>
    <t>6) Normal Hours Fill in the total hours, as a decimal, that you have worked each day. eg. 8.0, 7.5, 9.25 etc</t>
  </si>
  <si>
    <t>5) Time not worked during the start and end times (Optional - only if this is required by the Client)</t>
  </si>
  <si>
    <t>3) Start and End time must be entered in TIME format. eg. 08:30 (Optional - only if this is required by the Client)</t>
  </si>
  <si>
    <t xml:space="preserve">2) Name and Contractor number (your Account Manager will give this to you) must be filled in. </t>
  </si>
  <si>
    <t xml:space="preserve">1) From and To dates must cover the period of your timesheet. ie. DD-MM-YYYY </t>
  </si>
  <si>
    <t>4) Lunch :  Fill in how long you were at lunch (Optional - only if this is required by the Client)</t>
  </si>
  <si>
    <t>Date From:</t>
  </si>
  <si>
    <t>Decimal (Billing)</t>
  </si>
  <si>
    <t>TOTAL KM's</t>
  </si>
  <si>
    <t>Date To :</t>
  </si>
  <si>
    <t>Date</t>
  </si>
  <si>
    <t>DSK TECHNOLOGIES (PTY) LTD</t>
  </si>
  <si>
    <t>MBSA</t>
  </si>
  <si>
    <t>Client Signature Authorising Billing by DSK Technologies (Pty) Ltd</t>
  </si>
  <si>
    <t>AMIT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</si>
</sst>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\ #,##0.00"/>
    <numFmt numFmtId="165" formatCode="dd/mm"/>
    <numFmt numFmtId="166" formatCode="d\ mmmm\ yyyy"/>
    <numFmt numFmtId="167" formatCode="[h]:mm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20" fontId="2" fillId="0" borderId="1" xfId="0" applyNumberFormat="1" applyFont="1" applyBorder="1" applyAlignment="1" applyProtection="1">
      <alignment horizontal="center"/>
      <protection locked="0"/>
    </xf>
    <xf numFmtId="20" fontId="2" fillId="0" borderId="2" xfId="0" applyNumberFormat="1" applyFont="1" applyBorder="1" applyAlignment="1">
      <alignment horizontal="center"/>
    </xf>
    <xf numFmtId="165" fontId="3" fillId="0" borderId="3" xfId="0" quotePrefix="1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3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6" xfId="0" applyFont="1" applyBorder="1"/>
    <xf numFmtId="0" fontId="3" fillId="0" borderId="6" xfId="0" applyFont="1" applyBorder="1" applyAlignment="1">
      <alignment horizontal="centerContinuous"/>
    </xf>
    <xf numFmtId="0" fontId="4" fillId="0" borderId="6" xfId="0" applyFont="1" applyBorder="1" applyAlignment="1">
      <alignment horizontal="left" vertical="top"/>
    </xf>
    <xf numFmtId="0" fontId="0" fillId="0" borderId="6" xfId="0" applyBorder="1"/>
    <xf numFmtId="0" fontId="3" fillId="0" borderId="6" xfId="0" applyFont="1" applyBorder="1"/>
    <xf numFmtId="0" fontId="1" fillId="0" borderId="8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10" xfId="0" applyFont="1" applyBorder="1"/>
    <xf numFmtId="0" fontId="6" fillId="0" borderId="8" xfId="0" applyFont="1" applyBorder="1"/>
    <xf numFmtId="0" fontId="6" fillId="0" borderId="3" xfId="0" applyFont="1" applyBorder="1"/>
    <xf numFmtId="0" fontId="3" fillId="0" borderId="11" xfId="0" applyFont="1" applyBorder="1"/>
    <xf numFmtId="20" fontId="3" fillId="0" borderId="12" xfId="0" applyNumberFormat="1" applyFont="1" applyBorder="1" applyAlignment="1">
      <alignment horizontal="left"/>
    </xf>
    <xf numFmtId="2" fontId="3" fillId="0" borderId="11" xfId="0" applyNumberFormat="1" applyFont="1" applyBorder="1"/>
    <xf numFmtId="46" fontId="7" fillId="0" borderId="13" xfId="0" applyNumberFormat="1" applyFont="1" applyBorder="1" applyAlignment="1">
      <alignment horizontal="center"/>
    </xf>
    <xf numFmtId="2" fontId="3" fillId="0" borderId="10" xfId="0" applyNumberFormat="1" applyFont="1" applyBorder="1"/>
    <xf numFmtId="20" fontId="3" fillId="0" borderId="11" xfId="0" applyNumberFormat="1" applyFont="1" applyBorder="1"/>
    <xf numFmtId="20" fontId="3" fillId="0" borderId="10" xfId="0" applyNumberFormat="1" applyFont="1" applyBorder="1"/>
    <xf numFmtId="2" fontId="3" fillId="0" borderId="10" xfId="0" quotePrefix="1" applyNumberFormat="1" applyFont="1" applyBorder="1"/>
    <xf numFmtId="2" fontId="3" fillId="0" borderId="10" xfId="0" applyNumberFormat="1" applyFont="1" applyBorder="1" applyAlignment="1">
      <alignment horizontal="left"/>
    </xf>
    <xf numFmtId="2" fontId="3" fillId="0" borderId="14" xfId="0" applyNumberFormat="1" applyFont="1" applyBorder="1"/>
    <xf numFmtId="0" fontId="6" fillId="0" borderId="3" xfId="0" applyFont="1" applyBorder="1" applyAlignment="1">
      <alignment vertical="center"/>
    </xf>
    <xf numFmtId="0" fontId="3" fillId="0" borderId="8" xfId="0" applyFont="1" applyBorder="1"/>
    <xf numFmtId="2" fontId="3" fillId="0" borderId="15" xfId="0" applyNumberFormat="1" applyFont="1" applyBorder="1"/>
    <xf numFmtId="0" fontId="3" fillId="0" borderId="8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wrapText="1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0" fontId="3" fillId="0" borderId="17" xfId="0" applyFont="1" applyBorder="1"/>
    <xf numFmtId="0" fontId="1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5" fontId="3" fillId="0" borderId="18" xfId="0" quotePrefix="1" applyNumberFormat="1" applyFont="1" applyBorder="1" applyAlignment="1" applyProtection="1">
      <alignment horizontal="center"/>
      <protection locked="0"/>
    </xf>
    <xf numFmtId="20" fontId="2" fillId="0" borderId="19" xfId="0" applyNumberFormat="1" applyFont="1" applyBorder="1" applyAlignment="1" applyProtection="1">
      <alignment horizontal="center"/>
      <protection locked="0"/>
    </xf>
    <xf numFmtId="20" fontId="2" fillId="0" borderId="20" xfId="0" applyNumberFormat="1" applyFont="1" applyBorder="1" applyAlignment="1" applyProtection="1">
      <alignment horizontal="center"/>
      <protection locked="0"/>
    </xf>
    <xf numFmtId="20" fontId="2" fillId="0" borderId="13" xfId="0" applyNumberFormat="1" applyFont="1" applyBorder="1" applyAlignment="1" applyProtection="1">
      <alignment horizontal="center"/>
      <protection locked="0"/>
    </xf>
    <xf numFmtId="20" fontId="2" fillId="0" borderId="21" xfId="0" applyNumberFormat="1" applyFont="1" applyBorder="1" applyAlignment="1">
      <alignment horizontal="center"/>
    </xf>
    <xf numFmtId="20" fontId="2" fillId="0" borderId="22" xfId="0" applyNumberFormat="1" applyFont="1" applyBorder="1" applyAlignment="1">
      <alignment horizontal="center"/>
    </xf>
    <xf numFmtId="20" fontId="2" fillId="0" borderId="23" xfId="0" applyNumberFormat="1" applyFont="1" applyBorder="1" applyAlignment="1" applyProtection="1">
      <alignment horizontal="center"/>
      <protection locked="0"/>
    </xf>
    <xf numFmtId="20" fontId="2" fillId="0" borderId="24" xfId="0" applyNumberFormat="1" applyFont="1" applyBorder="1" applyAlignment="1" applyProtection="1">
      <alignment horizontal="center"/>
      <protection locked="0"/>
    </xf>
    <xf numFmtId="20" fontId="2" fillId="0" borderId="25" xfId="0" applyNumberFormat="1" applyFont="1" applyBorder="1" applyAlignment="1" applyProtection="1">
      <alignment horizontal="center"/>
      <protection locked="0"/>
    </xf>
    <xf numFmtId="20" fontId="2" fillId="0" borderId="26" xfId="0" applyNumberFormat="1" applyFont="1" applyBorder="1" applyAlignment="1" applyProtection="1">
      <alignment horizontal="center"/>
      <protection locked="0"/>
    </xf>
    <xf numFmtId="20" fontId="2" fillId="0" borderId="27" xfId="0" applyNumberFormat="1" applyFont="1" applyBorder="1" applyAlignment="1" applyProtection="1">
      <alignment horizontal="center"/>
      <protection locked="0"/>
    </xf>
    <xf numFmtId="20" fontId="2" fillId="0" borderId="28" xfId="0" applyNumberFormat="1" applyFont="1" applyBorder="1" applyAlignment="1">
      <alignment horizontal="center"/>
    </xf>
    <xf numFmtId="165" fontId="3" fillId="0" borderId="29" xfId="0" quotePrefix="1" applyNumberFormat="1" applyFont="1" applyBorder="1" applyAlignment="1" applyProtection="1">
      <alignment horizontal="center"/>
      <protection locked="0"/>
    </xf>
    <xf numFmtId="165" fontId="3" fillId="0" borderId="0" xfId="0" quotePrefix="1" applyNumberFormat="1" applyFont="1" applyAlignment="1" applyProtection="1">
      <alignment horizontal="center"/>
      <protection locked="0"/>
    </xf>
    <xf numFmtId="20" fontId="2" fillId="0" borderId="0" xfId="0" applyNumberFormat="1" applyFont="1" applyAlignment="1" applyProtection="1">
      <alignment horizontal="center"/>
      <protection locked="0"/>
    </xf>
    <xf numFmtId="20" fontId="2" fillId="0" borderId="31" xfId="0" applyNumberFormat="1" applyFont="1" applyBorder="1" applyAlignment="1" applyProtection="1">
      <alignment horizontal="center"/>
      <protection locked="0"/>
    </xf>
    <xf numFmtId="20" fontId="2" fillId="0" borderId="9" xfId="0" applyNumberFormat="1" applyFont="1" applyBorder="1" applyAlignment="1">
      <alignment horizontal="center"/>
    </xf>
    <xf numFmtId="20" fontId="3" fillId="0" borderId="9" xfId="0" applyNumberFormat="1" applyFont="1" applyBorder="1" applyAlignment="1">
      <alignment horizontal="left"/>
    </xf>
    <xf numFmtId="20" fontId="10" fillId="0" borderId="0" xfId="0" applyNumberFormat="1" applyFont="1" applyAlignment="1" applyProtection="1">
      <alignment horizontal="center"/>
      <protection locked="0"/>
    </xf>
    <xf numFmtId="20" fontId="2" fillId="0" borderId="0" xfId="0" applyNumberFormat="1" applyFont="1" applyAlignment="1">
      <alignment horizontal="center"/>
    </xf>
    <xf numFmtId="20" fontId="2" fillId="0" borderId="16" xfId="0" applyNumberFormat="1" applyFont="1" applyBorder="1" applyAlignment="1" applyProtection="1">
      <alignment horizontal="center"/>
      <protection locked="0"/>
    </xf>
    <xf numFmtId="46" fontId="7" fillId="0" borderId="25" xfId="0" applyNumberFormat="1" applyFont="1" applyBorder="1" applyAlignment="1">
      <alignment horizontal="center"/>
    </xf>
    <xf numFmtId="165" fontId="3" fillId="0" borderId="32" xfId="0" quotePrefix="1" applyNumberFormat="1" applyFont="1" applyBorder="1" applyAlignment="1" applyProtection="1">
      <alignment horizontal="center"/>
      <protection locked="0"/>
    </xf>
    <xf numFmtId="20" fontId="2" fillId="0" borderId="33" xfId="0" applyNumberFormat="1" applyFont="1" applyBorder="1" applyAlignment="1" applyProtection="1">
      <alignment horizontal="center"/>
      <protection locked="0"/>
    </xf>
    <xf numFmtId="20" fontId="2" fillId="0" borderId="34" xfId="0" applyNumberFormat="1" applyFont="1" applyBorder="1" applyAlignment="1" applyProtection="1">
      <alignment horizontal="center"/>
      <protection locked="0"/>
    </xf>
    <xf numFmtId="20" fontId="2" fillId="0" borderId="35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right"/>
    </xf>
    <xf numFmtId="167" fontId="8" fillId="0" borderId="0" xfId="0" applyNumberFormat="1" applyFont="1" applyAlignment="1">
      <alignment horizontal="right" vertical="center" wrapText="1"/>
    </xf>
    <xf numFmtId="167" fontId="1" fillId="0" borderId="0" xfId="0" applyNumberFormat="1" applyFont="1" applyAlignment="1">
      <alignment horizontal="right" vertical="center" wrapText="1"/>
    </xf>
    <xf numFmtId="0" fontId="3" fillId="0" borderId="3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6" fillId="0" borderId="8" xfId="0" applyFont="1" applyBorder="1" applyAlignment="1">
      <alignment vertical="center"/>
    </xf>
    <xf numFmtId="167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right" vertical="center" wrapText="1"/>
    </xf>
    <xf numFmtId="2" fontId="8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7" fontId="9" fillId="0" borderId="1" xfId="0" applyNumberFormat="1" applyFont="1" applyBorder="1" applyAlignment="1">
      <alignment horizontal="right" vertical="center" wrapText="1"/>
    </xf>
    <xf numFmtId="2" fontId="8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0" fillId="0" borderId="16" xfId="0" applyBorder="1"/>
    <xf numFmtId="0" fontId="3" fillId="0" borderId="10" xfId="0" applyFont="1" applyBorder="1" applyAlignment="1">
      <alignment horizontal="center"/>
    </xf>
    <xf numFmtId="164" fontId="7" fillId="0" borderId="0" xfId="0" applyNumberFormat="1" applyFont="1" applyAlignment="1" applyProtection="1">
      <alignment horizontal="right" vertical="center" wrapText="1"/>
      <protection locked="0"/>
    </xf>
    <xf numFmtId="164" fontId="7" fillId="0" borderId="0" xfId="0" applyNumberFormat="1" applyFont="1" applyAlignment="1" applyProtection="1">
      <alignment horizontal="right" vertical="center"/>
      <protection locked="0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7" fontId="6" fillId="0" borderId="18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0" fontId="0" fillId="0" borderId="8" xfId="0" applyBorder="1"/>
    <xf numFmtId="0" fontId="3" fillId="0" borderId="38" xfId="0" applyFont="1" applyBorder="1" applyAlignment="1">
      <alignment horizontal="center"/>
    </xf>
    <xf numFmtId="0" fontId="3" fillId="0" borderId="38" xfId="0" applyFont="1" applyBorder="1" applyAlignment="1">
      <alignment horizontal="left" vertical="top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2" fillId="0" borderId="30" xfId="0" applyFont="1" applyBorder="1"/>
    <xf numFmtId="0" fontId="1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7" xfId="0" applyBorder="1"/>
    <xf numFmtId="166" fontId="2" fillId="0" borderId="0" xfId="0" applyNumberFormat="1" applyFont="1" applyAlignment="1">
      <alignment horizontal="left"/>
    </xf>
    <xf numFmtId="166" fontId="2" fillId="0" borderId="6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49" fontId="2" fillId="0" borderId="9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325120</xdr:colOff>
      <xdr:row>0</xdr:row>
      <xdr:rowOff>71120</xdr:rowOff>
    </xdr:from>
    <xdr:to>
      <xdr:col>16</xdr:col>
      <xdr:colOff>636905</xdr:colOff>
      <xdr:row>1</xdr:row>
      <xdr:rowOff>11807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B0335-477F-41AE-878A-B6B451CA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1680" y="71120"/>
          <a:ext cx="1818640" cy="933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zoomScaleNormal="100" workbookViewId="0">
      <selection activeCell="H33" sqref="H33"/>
    </sheetView>
  </sheetViews>
  <sheetFormatPr defaultRowHeight="13.2" x14ac:dyDescent="0.25"/>
  <sheetData>
    <row r="1" spans="1:1" x14ac:dyDescent="0.25">
      <c r="A1" s="45" t="s">
        <v>39</v>
      </c>
    </row>
    <row r="3" spans="1:1" x14ac:dyDescent="0.25">
      <c r="A3" t="s">
        <v>64</v>
      </c>
    </row>
    <row r="4" spans="1:1" x14ac:dyDescent="0.25">
      <c r="A4" t="s">
        <v>63</v>
      </c>
    </row>
    <row r="5" spans="1:1" x14ac:dyDescent="0.25">
      <c r="A5" t="s">
        <v>62</v>
      </c>
    </row>
    <row r="6" spans="1:1" x14ac:dyDescent="0.25">
      <c r="A6" s="46" t="s">
        <v>65</v>
      </c>
    </row>
    <row r="7" spans="1:1" x14ac:dyDescent="0.25">
      <c r="A7" t="s">
        <v>61</v>
      </c>
    </row>
    <row r="8" spans="1:1" x14ac:dyDescent="0.25">
      <c r="A8" t="s">
        <v>60</v>
      </c>
    </row>
    <row r="9" spans="1:1" x14ac:dyDescent="0.25">
      <c r="A9" t="s">
        <v>59</v>
      </c>
    </row>
    <row r="10" spans="1:1" x14ac:dyDescent="0.25">
      <c r="A10" t="s">
        <v>40</v>
      </c>
    </row>
    <row r="11" spans="1:1" x14ac:dyDescent="0.25">
      <c r="A11" t="s">
        <v>58</v>
      </c>
    </row>
    <row r="12" spans="1:1" x14ac:dyDescent="0.25">
      <c r="A12" t="s">
        <v>41</v>
      </c>
    </row>
    <row r="13" spans="1:1" x14ac:dyDescent="0.25">
      <c r="A13" t="s">
        <v>57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56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55</v>
      </c>
    </row>
    <row r="21" spans="1:1" x14ac:dyDescent="0.25">
      <c r="A21" t="s">
        <v>54</v>
      </c>
    </row>
    <row r="22" spans="1:1" x14ac:dyDescent="0.25">
      <c r="A22" t="s">
        <v>53</v>
      </c>
    </row>
    <row r="23" spans="1:1" x14ac:dyDescent="0.25">
      <c r="A23" t="s">
        <v>47</v>
      </c>
    </row>
    <row r="24" spans="1:1" x14ac:dyDescent="0.25">
      <c r="A24" t="s">
        <v>52</v>
      </c>
    </row>
    <row r="25" spans="1:1" x14ac:dyDescent="0.25">
      <c r="A25" t="s">
        <v>51</v>
      </c>
    </row>
    <row r="26" spans="1:1" x14ac:dyDescent="0.25">
      <c r="A26" t="s">
        <v>48</v>
      </c>
    </row>
    <row r="27" spans="1:1" x14ac:dyDescent="0.25">
      <c r="A27" t="s">
        <v>50</v>
      </c>
    </row>
    <row r="34" spans="1:1" x14ac:dyDescent="0.25">
      <c r="A34" t="s">
        <v>49</v>
      </c>
    </row>
  </sheetData>
  <phoneticPr fontId="0" type="noConversion"/>
  <pageMargins left="0.75" right="0.75" top="1" bottom="1" header="0.5" footer="0.5"/>
  <pageSetup paperSize="9" scale="87" orientation="portrait" r:id="rId1"/>
  <headerFooter alignWithMargins="0">
    <oddHeader>&amp;L&amp;"CorpoS"&amp;10&amp;K007a93Internal&amp;1#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"/>
  <sheetViews>
    <sheetView tabSelected="1" topLeftCell="A39" zoomScale="90" zoomScaleNormal="90" workbookViewId="0">
      <selection activeCell="M1" sqref="M1"/>
    </sheetView>
  </sheetViews>
  <sheetFormatPr defaultColWidth="9.33203125" defaultRowHeight="13.2" x14ac:dyDescent="0.25"/>
  <cols>
    <col min="1" max="1" width="17.44140625" customWidth="1"/>
    <col min="2" max="3" width="10.6640625" customWidth="1"/>
    <col min="4" max="5" width="10.33203125" customWidth="1"/>
    <col min="6" max="6" width="10" customWidth="1"/>
    <col min="7" max="8" width="10.6640625" customWidth="1"/>
    <col min="9" max="9" width="10" customWidth="1"/>
    <col min="10" max="10" width="10.33203125" customWidth="1"/>
    <col min="11" max="11" width="9.6640625" customWidth="1"/>
    <col min="12" max="16" width="10.6640625" customWidth="1"/>
    <col min="17" max="17" width="10.44140625" customWidth="1"/>
    <col min="18" max="18" width="10.6640625" customWidth="1"/>
    <col min="19" max="19" width="11.5546875" customWidth="1"/>
    <col min="21" max="21" width="10.6640625" customWidth="1"/>
  </cols>
  <sheetData>
    <row r="1" spans="1:21" ht="78.75" customHeight="1" x14ac:dyDescent="0.25">
      <c r="A1" s="7" t="s">
        <v>66</v>
      </c>
      <c r="B1" s="109">
        <v>45864</v>
      </c>
      <c r="C1" s="109"/>
      <c r="D1" s="8"/>
      <c r="E1" s="9" t="s">
        <v>0</v>
      </c>
      <c r="F1" s="10"/>
      <c r="G1" s="11" t="s">
        <v>1</v>
      </c>
      <c r="H1" s="10"/>
      <c r="I1" s="10"/>
      <c r="J1" s="8"/>
      <c r="K1" s="8"/>
      <c r="L1" s="8"/>
      <c r="M1" s="8"/>
      <c r="N1" s="12"/>
      <c r="O1" s="8"/>
      <c r="P1" s="8"/>
      <c r="Q1" s="8"/>
      <c r="R1" s="105" t="s">
        <v>71</v>
      </c>
      <c r="S1" s="106"/>
      <c r="T1" s="106"/>
      <c r="U1" s="107"/>
    </row>
    <row r="2" spans="1:21" ht="18.75" customHeight="1" x14ac:dyDescent="0.25">
      <c r="A2" s="14" t="s">
        <v>69</v>
      </c>
      <c r="B2" s="108">
        <v>45894</v>
      </c>
      <c r="C2" s="108"/>
      <c r="D2" s="15"/>
      <c r="E2" s="16" t="s">
        <v>2</v>
      </c>
      <c r="F2" s="111" t="s">
        <v>74</v>
      </c>
      <c r="G2" s="111"/>
      <c r="H2" s="111"/>
      <c r="I2" s="111"/>
      <c r="K2" s="15"/>
      <c r="L2" s="47" t="s">
        <v>3</v>
      </c>
      <c r="M2" s="110" t="s">
        <v>72</v>
      </c>
      <c r="N2" s="110"/>
      <c r="O2" s="110"/>
      <c r="P2" s="110"/>
      <c r="Q2" s="15"/>
      <c r="R2" s="15"/>
      <c r="S2" s="17"/>
      <c r="T2" s="17" t="s">
        <v>4</v>
      </c>
      <c r="U2" s="18" t="s">
        <v>4</v>
      </c>
    </row>
    <row r="3" spans="1:21" ht="17.25" customHeight="1" thickBot="1" x14ac:dyDescent="0.3">
      <c r="A3" s="19"/>
      <c r="B3" s="5" t="str">
        <f>TEXT(B4, "dddd")</f>
        <v>Saturday</v>
      </c>
      <c r="C3" s="5" t="str">
        <f t="shared" ref="C3:S3" si="0">TEXT(C4, "dddd")</f>
        <v>Sunday</v>
      </c>
      <c r="D3" s="5" t="str">
        <f t="shared" si="0"/>
        <v>Monday</v>
      </c>
      <c r="E3" s="5" t="str">
        <f t="shared" si="0"/>
        <v>Tuesday</v>
      </c>
      <c r="F3" s="5" t="str">
        <f t="shared" si="0"/>
        <v>Wednesday</v>
      </c>
      <c r="G3" s="5" t="str">
        <f t="shared" si="0"/>
        <v>Thursday</v>
      </c>
      <c r="H3" s="5" t="str">
        <f t="shared" si="0"/>
        <v>Friday</v>
      </c>
      <c r="I3" s="5" t="str">
        <f t="shared" si="0"/>
        <v>Saturday</v>
      </c>
      <c r="J3" s="5" t="str">
        <f t="shared" si="0"/>
        <v>Sunday</v>
      </c>
      <c r="K3" s="5" t="str">
        <f t="shared" si="0"/>
        <v>Monday</v>
      </c>
      <c r="L3" s="5" t="str">
        <f t="shared" si="0"/>
        <v>Tuesday</v>
      </c>
      <c r="M3" s="5" t="str">
        <f t="shared" si="0"/>
        <v>Wednesday</v>
      </c>
      <c r="N3" s="5" t="str">
        <f t="shared" si="0"/>
        <v>Thursday</v>
      </c>
      <c r="O3" s="5" t="str">
        <f t="shared" si="0"/>
        <v>Friday</v>
      </c>
      <c r="P3" s="5" t="str">
        <f t="shared" si="0"/>
        <v>Saturday</v>
      </c>
      <c r="Q3" s="5" t="str">
        <f t="shared" si="0"/>
        <v>Sunday</v>
      </c>
      <c r="R3" s="5" t="str">
        <f t="shared" si="0"/>
        <v>Monday</v>
      </c>
      <c r="S3" s="5" t="str">
        <f t="shared" si="0"/>
        <v>Tuesday</v>
      </c>
      <c r="T3" s="17"/>
      <c r="U3" s="18"/>
    </row>
    <row r="4" spans="1:21" ht="13.5" customHeight="1" thickBot="1" x14ac:dyDescent="0.3">
      <c r="A4" s="20" t="s">
        <v>5</v>
      </c>
      <c r="B4" s="3">
        <f>B1</f>
        <v>45864</v>
      </c>
      <c r="C4" s="3">
        <f>B4+1</f>
        <v>45865</v>
      </c>
      <c r="D4" s="3">
        <f>C4+1</f>
        <v>45866</v>
      </c>
      <c r="E4" s="3">
        <f>D4+1</f>
        <v>45867</v>
      </c>
      <c r="F4" s="3">
        <f t="shared" ref="F4:R4" si="1">E4+1</f>
        <v>45868</v>
      </c>
      <c r="G4" s="3">
        <f t="shared" si="1"/>
        <v>45869</v>
      </c>
      <c r="H4" s="3">
        <f t="shared" si="1"/>
        <v>45870</v>
      </c>
      <c r="I4" s="3">
        <f t="shared" si="1"/>
        <v>45871</v>
      </c>
      <c r="J4" s="3">
        <f t="shared" si="1"/>
        <v>45872</v>
      </c>
      <c r="K4" s="3">
        <f t="shared" si="1"/>
        <v>45873</v>
      </c>
      <c r="L4" s="3">
        <f t="shared" si="1"/>
        <v>45874</v>
      </c>
      <c r="M4" s="3">
        <f t="shared" si="1"/>
        <v>45875</v>
      </c>
      <c r="N4" s="3">
        <f t="shared" si="1"/>
        <v>45876</v>
      </c>
      <c r="O4" s="3">
        <f t="shared" si="1"/>
        <v>45877</v>
      </c>
      <c r="P4" s="48">
        <f t="shared" si="1"/>
        <v>45878</v>
      </c>
      <c r="Q4" s="3">
        <f t="shared" si="1"/>
        <v>45879</v>
      </c>
      <c r="R4" s="48">
        <f t="shared" si="1"/>
        <v>45880</v>
      </c>
      <c r="S4" s="3">
        <f>R4+1</f>
        <v>45881</v>
      </c>
      <c r="T4" s="17"/>
      <c r="U4" s="18"/>
    </row>
    <row r="5" spans="1:21" ht="17.7" customHeight="1" x14ac:dyDescent="0.25">
      <c r="A5" s="21" t="s">
        <v>6</v>
      </c>
      <c r="B5" s="50"/>
      <c r="C5" s="58"/>
      <c r="D5" s="58"/>
      <c r="E5" s="58">
        <v>0.35416666666666669</v>
      </c>
      <c r="F5" s="50"/>
      <c r="G5" s="58">
        <v>0.35416666666666669</v>
      </c>
      <c r="H5" s="58">
        <v>0.35416666666666669</v>
      </c>
      <c r="I5" s="58"/>
      <c r="J5" s="58"/>
      <c r="K5" s="58">
        <v>0.35416666666666669</v>
      </c>
      <c r="L5" s="58">
        <v>0.35416666666666669</v>
      </c>
      <c r="M5" s="58">
        <v>0.35416666666666669</v>
      </c>
      <c r="N5" s="58">
        <v>0.35416666666666669</v>
      </c>
      <c r="O5" s="58">
        <v>0.35416666666666669</v>
      </c>
      <c r="P5" s="49"/>
      <c r="Q5" s="58"/>
      <c r="R5" s="58">
        <v>0.35416666666666669</v>
      </c>
      <c r="S5" s="1"/>
      <c r="T5" s="17"/>
      <c r="U5" s="18"/>
    </row>
    <row r="6" spans="1:21" ht="17.7" customHeight="1" x14ac:dyDescent="0.25">
      <c r="A6" s="21" t="s">
        <v>7</v>
      </c>
      <c r="B6" s="50"/>
      <c r="C6" s="1"/>
      <c r="D6" s="1"/>
      <c r="E6" s="1">
        <v>0.70833333333333337</v>
      </c>
      <c r="F6" s="50"/>
      <c r="G6" s="1">
        <v>0.70833333333333337</v>
      </c>
      <c r="H6" s="1">
        <v>0.70833333333333337</v>
      </c>
      <c r="I6" s="1"/>
      <c r="J6" s="1"/>
      <c r="K6" s="1">
        <v>0.70833333333333337</v>
      </c>
      <c r="L6" s="1">
        <v>0.70833333333333337</v>
      </c>
      <c r="M6" s="1">
        <v>0.70833333333333337</v>
      </c>
      <c r="N6" s="1">
        <v>0.70833333333333337</v>
      </c>
      <c r="O6" s="1">
        <v>0.70833333333333337</v>
      </c>
      <c r="P6" s="49"/>
      <c r="Q6" s="1"/>
      <c r="R6" s="1">
        <v>0.70833333333333337</v>
      </c>
      <c r="S6" s="1"/>
      <c r="T6" s="22"/>
      <c r="U6" s="18"/>
    </row>
    <row r="7" spans="1:21" ht="17.7" customHeight="1" x14ac:dyDescent="0.25">
      <c r="A7" s="23" t="s">
        <v>9</v>
      </c>
      <c r="B7" s="50"/>
      <c r="C7" s="1"/>
      <c r="D7" s="49"/>
      <c r="E7" s="1">
        <v>2.0833333333333332E-2</v>
      </c>
      <c r="F7" s="50"/>
      <c r="G7" s="1">
        <v>2.0833333333333332E-2</v>
      </c>
      <c r="H7" s="1">
        <v>2.0833333333333332E-2</v>
      </c>
      <c r="I7" s="1"/>
      <c r="J7" s="1"/>
      <c r="K7" s="1">
        <v>2.0833333333333332E-2</v>
      </c>
      <c r="L7" s="1">
        <v>2.0833333333333332E-2</v>
      </c>
      <c r="M7" s="1">
        <v>2.0833333333333332E-2</v>
      </c>
      <c r="N7" s="1">
        <v>2.0833333333333332E-2</v>
      </c>
      <c r="O7" s="1">
        <v>2.0833333333333332E-2</v>
      </c>
      <c r="P7" s="49"/>
      <c r="Q7" s="1"/>
      <c r="R7" s="1">
        <v>2.0833333333333332E-2</v>
      </c>
      <c r="S7" s="1"/>
      <c r="T7" s="24">
        <f t="shared" ref="T7:T16" si="2">SUM(B7:S7)</f>
        <v>0.1875</v>
      </c>
      <c r="U7" s="25" t="s">
        <v>9</v>
      </c>
    </row>
    <row r="8" spans="1:21" ht="17.7" customHeight="1" x14ac:dyDescent="0.25">
      <c r="A8" s="23" t="s">
        <v>10</v>
      </c>
      <c r="B8" s="50"/>
      <c r="C8" s="1"/>
      <c r="D8" s="49"/>
      <c r="E8" s="1"/>
      <c r="F8" s="1"/>
      <c r="G8" s="1"/>
      <c r="H8" s="51"/>
      <c r="I8" s="50"/>
      <c r="J8" s="1"/>
      <c r="K8" s="49"/>
      <c r="L8" s="1"/>
      <c r="M8" s="1"/>
      <c r="N8" s="1"/>
      <c r="O8" s="51"/>
      <c r="P8" s="49"/>
      <c r="Q8" s="1"/>
      <c r="R8" s="49"/>
      <c r="S8" s="1"/>
      <c r="T8" s="24">
        <f t="shared" si="2"/>
        <v>0</v>
      </c>
      <c r="U8" s="25" t="s">
        <v>11</v>
      </c>
    </row>
    <row r="9" spans="1:21" ht="17.7" customHeight="1" x14ac:dyDescent="0.25">
      <c r="A9" s="26" t="s">
        <v>12</v>
      </c>
      <c r="B9" s="52">
        <f t="shared" ref="B9:H9" si="3">SUM(B6-B5-B7-B8)</f>
        <v>0</v>
      </c>
      <c r="C9" s="59">
        <f t="shared" si="3"/>
        <v>0</v>
      </c>
      <c r="D9" s="2">
        <f t="shared" si="3"/>
        <v>0</v>
      </c>
      <c r="E9" s="2">
        <f t="shared" si="3"/>
        <v>0.33333333333333337</v>
      </c>
      <c r="F9" s="2">
        <f t="shared" si="3"/>
        <v>0</v>
      </c>
      <c r="G9" s="2">
        <f t="shared" si="3"/>
        <v>0.33333333333333337</v>
      </c>
      <c r="H9" s="53">
        <f t="shared" si="3"/>
        <v>0.33333333333333337</v>
      </c>
      <c r="I9" s="52">
        <f t="shared" ref="I9:R9" si="4">SUM(I6-I5-I7-I8)</f>
        <v>0</v>
      </c>
      <c r="J9" s="59">
        <f t="shared" si="4"/>
        <v>0</v>
      </c>
      <c r="K9" s="2">
        <f t="shared" si="4"/>
        <v>0.33333333333333337</v>
      </c>
      <c r="L9" s="2">
        <f t="shared" si="4"/>
        <v>0.33333333333333337</v>
      </c>
      <c r="M9" s="2">
        <f t="shared" si="4"/>
        <v>0.33333333333333337</v>
      </c>
      <c r="N9" s="2">
        <f t="shared" si="4"/>
        <v>0.33333333333333337</v>
      </c>
      <c r="O9" s="53">
        <f t="shared" si="4"/>
        <v>0.33333333333333337</v>
      </c>
      <c r="P9" s="2">
        <f t="shared" si="4"/>
        <v>0</v>
      </c>
      <c r="Q9" s="59">
        <f t="shared" si="4"/>
        <v>0</v>
      </c>
      <c r="R9" s="59">
        <f t="shared" si="4"/>
        <v>0.33333333333333337</v>
      </c>
      <c r="S9" s="2">
        <f>SUM(S6-S5-S7-S8)</f>
        <v>0</v>
      </c>
      <c r="T9" s="24">
        <f t="shared" si="2"/>
        <v>3.0000000000000009</v>
      </c>
      <c r="U9" s="27" t="s">
        <v>13</v>
      </c>
    </row>
    <row r="10" spans="1:21" ht="17.7" customHeight="1" x14ac:dyDescent="0.25">
      <c r="A10" s="23" t="s">
        <v>14</v>
      </c>
      <c r="B10" s="50"/>
      <c r="C10" s="1"/>
      <c r="D10" s="49"/>
      <c r="E10" s="1"/>
      <c r="F10" s="1"/>
      <c r="G10" s="1"/>
      <c r="H10" s="51"/>
      <c r="I10" s="50"/>
      <c r="J10" s="1"/>
      <c r="K10" s="49"/>
      <c r="L10" s="1"/>
      <c r="M10" s="1"/>
      <c r="N10" s="1"/>
      <c r="O10" s="51"/>
      <c r="P10" s="49"/>
      <c r="Q10" s="1"/>
      <c r="R10" s="49"/>
      <c r="S10" s="1"/>
      <c r="T10" s="24">
        <f t="shared" si="2"/>
        <v>0</v>
      </c>
      <c r="U10" s="28" t="s">
        <v>15</v>
      </c>
    </row>
    <row r="11" spans="1:21" ht="17.7" customHeight="1" x14ac:dyDescent="0.25">
      <c r="A11" s="23" t="s">
        <v>16</v>
      </c>
      <c r="B11" s="50"/>
      <c r="C11" s="1"/>
      <c r="D11" s="49"/>
      <c r="E11" s="1"/>
      <c r="F11" s="1"/>
      <c r="G11" s="1"/>
      <c r="H11" s="51"/>
      <c r="I11" s="50"/>
      <c r="J11" s="1"/>
      <c r="K11" s="49"/>
      <c r="L11" s="1"/>
      <c r="M11" s="1"/>
      <c r="N11" s="1"/>
      <c r="O11" s="51"/>
      <c r="P11" s="49"/>
      <c r="Q11" s="1"/>
      <c r="R11" s="49"/>
      <c r="S11" s="1"/>
      <c r="T11" s="24">
        <f t="shared" si="2"/>
        <v>0</v>
      </c>
      <c r="U11" s="29">
        <v>1.2</v>
      </c>
    </row>
    <row r="12" spans="1:21" ht="17.7" customHeight="1" x14ac:dyDescent="0.25">
      <c r="A12" s="23" t="s">
        <v>17</v>
      </c>
      <c r="B12" s="50"/>
      <c r="C12" s="1"/>
      <c r="D12" s="49"/>
      <c r="E12" s="1"/>
      <c r="F12" s="1"/>
      <c r="G12" s="1"/>
      <c r="H12" s="51"/>
      <c r="I12" s="50"/>
      <c r="J12" s="1"/>
      <c r="K12" s="49"/>
      <c r="L12" s="1"/>
      <c r="M12" s="1"/>
      <c r="N12" s="1"/>
      <c r="O12" s="51"/>
      <c r="P12" s="49"/>
      <c r="Q12" s="1"/>
      <c r="R12" s="49"/>
      <c r="S12" s="1"/>
      <c r="T12" s="24">
        <f t="shared" si="2"/>
        <v>0</v>
      </c>
      <c r="U12" s="29">
        <v>1.333</v>
      </c>
    </row>
    <row r="13" spans="1:21" ht="17.7" customHeight="1" x14ac:dyDescent="0.25">
      <c r="A13" s="23" t="s">
        <v>18</v>
      </c>
      <c r="B13" s="50"/>
      <c r="C13" s="1"/>
      <c r="D13" s="49"/>
      <c r="E13" s="1"/>
      <c r="F13" s="1"/>
      <c r="G13" s="1"/>
      <c r="H13" s="51"/>
      <c r="I13" s="50"/>
      <c r="J13" s="1"/>
      <c r="K13" s="49"/>
      <c r="L13" s="1"/>
      <c r="M13" s="1"/>
      <c r="N13" s="1"/>
      <c r="O13" s="51"/>
      <c r="P13" s="49"/>
      <c r="Q13" s="1"/>
      <c r="R13" s="49"/>
      <c r="S13" s="1"/>
      <c r="T13" s="24">
        <f t="shared" si="2"/>
        <v>0</v>
      </c>
      <c r="U13" s="29">
        <v>1.5</v>
      </c>
    </row>
    <row r="14" spans="1:21" ht="17.7" customHeight="1" x14ac:dyDescent="0.25">
      <c r="A14" s="23" t="s">
        <v>19</v>
      </c>
      <c r="B14" s="50"/>
      <c r="C14" s="1"/>
      <c r="D14" s="49"/>
      <c r="E14" s="1"/>
      <c r="F14" s="1"/>
      <c r="G14" s="1"/>
      <c r="H14" s="51"/>
      <c r="I14" s="50"/>
      <c r="J14" s="1"/>
      <c r="K14" s="49"/>
      <c r="L14" s="1"/>
      <c r="M14" s="1"/>
      <c r="N14" s="1"/>
      <c r="O14" s="51"/>
      <c r="P14" s="49"/>
      <c r="Q14" s="1"/>
      <c r="R14" s="49"/>
      <c r="S14" s="1"/>
      <c r="T14" s="24">
        <f t="shared" si="2"/>
        <v>0</v>
      </c>
      <c r="U14" s="29">
        <v>2</v>
      </c>
    </row>
    <row r="15" spans="1:21" ht="17.7" customHeight="1" x14ac:dyDescent="0.25">
      <c r="A15" s="23" t="s">
        <v>20</v>
      </c>
      <c r="B15" s="50"/>
      <c r="C15" s="1"/>
      <c r="D15" s="49"/>
      <c r="E15" s="1"/>
      <c r="F15" s="1"/>
      <c r="G15" s="1"/>
      <c r="H15" s="51"/>
      <c r="I15" s="50"/>
      <c r="J15" s="1"/>
      <c r="K15" s="49"/>
      <c r="L15" s="1"/>
      <c r="M15" s="1"/>
      <c r="N15" s="1"/>
      <c r="O15" s="51"/>
      <c r="P15" s="49"/>
      <c r="Q15" s="1"/>
      <c r="R15" s="49"/>
      <c r="S15" s="1"/>
      <c r="T15" s="24">
        <f t="shared" si="2"/>
        <v>0</v>
      </c>
      <c r="U15" s="25" t="s">
        <v>21</v>
      </c>
    </row>
    <row r="16" spans="1:21" ht="17.7" customHeight="1" thickBot="1" x14ac:dyDescent="0.3">
      <c r="A16" s="30" t="s">
        <v>22</v>
      </c>
      <c r="B16" s="54" t="s">
        <v>25</v>
      </c>
      <c r="C16" s="55" t="s">
        <v>25</v>
      </c>
      <c r="D16" s="57"/>
      <c r="E16" s="55">
        <v>4.1666666666666664E-2</v>
      </c>
      <c r="F16" s="55"/>
      <c r="G16" s="55"/>
      <c r="H16" s="56"/>
      <c r="I16" s="54"/>
      <c r="J16" s="55"/>
      <c r="K16" s="57"/>
      <c r="L16" s="55"/>
      <c r="M16" s="55"/>
      <c r="N16" s="55"/>
      <c r="O16" s="56"/>
      <c r="P16" s="57"/>
      <c r="Q16" s="55"/>
      <c r="R16" s="49"/>
      <c r="S16" s="1"/>
      <c r="T16" s="24">
        <f t="shared" si="2"/>
        <v>4.1666666666666664E-2</v>
      </c>
      <c r="U16" s="25" t="s">
        <v>23</v>
      </c>
    </row>
    <row r="17" spans="1:21" ht="18" customHeight="1" thickBot="1" x14ac:dyDescent="0.3">
      <c r="A17" s="31" t="s">
        <v>24</v>
      </c>
      <c r="B17" s="4"/>
      <c r="C17" s="4"/>
      <c r="D17" s="4"/>
      <c r="E17" s="4"/>
      <c r="F17" s="4"/>
      <c r="G17" s="4"/>
      <c r="H17" s="98">
        <f>SUM(B9:H9)</f>
        <v>1</v>
      </c>
      <c r="I17" s="77"/>
      <c r="J17" s="4"/>
      <c r="K17" s="4"/>
      <c r="L17" s="4"/>
      <c r="M17" s="4"/>
      <c r="N17" s="4"/>
      <c r="O17" s="97">
        <f>SUM(I9:O9)</f>
        <v>1.666666666666667</v>
      </c>
      <c r="P17" s="77"/>
      <c r="Q17" s="4"/>
      <c r="R17" s="4"/>
      <c r="S17" s="78"/>
      <c r="T17" s="102"/>
      <c r="U17" s="18"/>
    </row>
    <row r="18" spans="1:21" ht="18" customHeight="1" thickBot="1" x14ac:dyDescent="0.3">
      <c r="A18" s="32"/>
      <c r="B18" s="5" t="str">
        <f>TEXT(B19, "dddd")</f>
        <v>Wednesday</v>
      </c>
      <c r="C18" s="5" t="str">
        <f t="shared" ref="C18:R18" si="5">TEXT(C19, "dddd")</f>
        <v>Thursday</v>
      </c>
      <c r="D18" s="5" t="str">
        <f t="shared" si="5"/>
        <v>Friday</v>
      </c>
      <c r="E18" s="5" t="str">
        <f t="shared" si="5"/>
        <v>Saturday</v>
      </c>
      <c r="F18" s="5" t="str">
        <f t="shared" si="5"/>
        <v>Sunday</v>
      </c>
      <c r="G18" s="5" t="str">
        <f t="shared" si="5"/>
        <v>Monday</v>
      </c>
      <c r="H18" s="5" t="str">
        <f t="shared" si="5"/>
        <v>Tuesday</v>
      </c>
      <c r="I18" s="5" t="str">
        <f t="shared" si="5"/>
        <v>Wednesday</v>
      </c>
      <c r="J18" s="5" t="str">
        <f t="shared" si="5"/>
        <v>Thursday</v>
      </c>
      <c r="K18" s="5" t="str">
        <f t="shared" si="5"/>
        <v>Friday</v>
      </c>
      <c r="L18" s="5" t="str">
        <f t="shared" si="5"/>
        <v>Saturday</v>
      </c>
      <c r="M18" s="5" t="str">
        <f t="shared" si="5"/>
        <v>Sunday</v>
      </c>
      <c r="N18" s="5" t="str">
        <f t="shared" si="5"/>
        <v>Monday</v>
      </c>
      <c r="O18" s="5" t="str">
        <f t="shared" si="5"/>
        <v>Tuesday</v>
      </c>
      <c r="P18" s="5" t="str">
        <f t="shared" si="5"/>
        <v>Wednesday</v>
      </c>
      <c r="Q18" s="5" t="str">
        <f t="shared" si="5"/>
        <v>Thursday</v>
      </c>
      <c r="R18" s="5" t="str">
        <f t="shared" si="5"/>
        <v>Friday</v>
      </c>
      <c r="S18" s="5"/>
      <c r="T18" s="17"/>
      <c r="U18" s="18"/>
    </row>
    <row r="19" spans="1:21" ht="13.5" customHeight="1" thickBot="1" x14ac:dyDescent="0.3">
      <c r="A19" s="20" t="s">
        <v>5</v>
      </c>
      <c r="B19" s="3">
        <f>S4+1</f>
        <v>45882</v>
      </c>
      <c r="C19" s="60">
        <f>B19+1</f>
        <v>45883</v>
      </c>
      <c r="D19" s="48">
        <f>C19+1</f>
        <v>45884</v>
      </c>
      <c r="E19" s="48">
        <f>D19+1</f>
        <v>45885</v>
      </c>
      <c r="F19" s="3">
        <f>E19+1</f>
        <v>45886</v>
      </c>
      <c r="G19" s="3">
        <f t="shared" ref="G19:R19" si="6">F19+1</f>
        <v>45887</v>
      </c>
      <c r="H19" s="3">
        <f t="shared" si="6"/>
        <v>45888</v>
      </c>
      <c r="I19" s="3">
        <f t="shared" si="6"/>
        <v>45889</v>
      </c>
      <c r="J19" s="3">
        <f t="shared" si="6"/>
        <v>45890</v>
      </c>
      <c r="K19" s="70">
        <f t="shared" si="6"/>
        <v>45891</v>
      </c>
      <c r="L19" s="3">
        <f t="shared" si="6"/>
        <v>45892</v>
      </c>
      <c r="M19" s="3">
        <f t="shared" si="6"/>
        <v>45893</v>
      </c>
      <c r="N19" s="48">
        <f t="shared" si="6"/>
        <v>45894</v>
      </c>
      <c r="O19" s="3">
        <f t="shared" si="6"/>
        <v>45895</v>
      </c>
      <c r="P19" s="3">
        <f t="shared" si="6"/>
        <v>45896</v>
      </c>
      <c r="Q19" s="3">
        <f t="shared" si="6"/>
        <v>45897</v>
      </c>
      <c r="R19" s="3">
        <f t="shared" si="6"/>
        <v>45898</v>
      </c>
      <c r="S19" s="61"/>
      <c r="T19" s="17"/>
      <c r="U19" s="18"/>
    </row>
    <row r="20" spans="1:21" ht="18.75" customHeight="1" x14ac:dyDescent="0.25">
      <c r="A20" s="21" t="s">
        <v>6</v>
      </c>
      <c r="B20" s="58">
        <v>0.35416666666666669</v>
      </c>
      <c r="C20" s="58">
        <v>0.35416666666666669</v>
      </c>
      <c r="D20" s="58">
        <v>0.35416666666666669</v>
      </c>
      <c r="E20" s="49"/>
      <c r="F20" s="58"/>
      <c r="G20" s="58">
        <v>0.35416666666666669</v>
      </c>
      <c r="H20" s="58">
        <v>0.35416666666666669</v>
      </c>
      <c r="I20" s="58">
        <v>0.35416666666666669</v>
      </c>
      <c r="J20" s="58">
        <v>0.35416666666666669</v>
      </c>
      <c r="K20" s="58">
        <v>0.35416666666666669</v>
      </c>
      <c r="L20" s="50"/>
      <c r="M20" s="58"/>
      <c r="N20" s="58">
        <v>0.35416666666666669</v>
      </c>
      <c r="O20" s="1"/>
      <c r="P20" s="1"/>
      <c r="Q20" s="1"/>
      <c r="R20" s="1"/>
      <c r="S20" s="62"/>
      <c r="T20" s="17"/>
      <c r="U20" s="18"/>
    </row>
    <row r="21" spans="1:21" ht="18.75" customHeight="1" x14ac:dyDescent="0.25">
      <c r="A21" s="21" t="s">
        <v>7</v>
      </c>
      <c r="B21" s="1">
        <v>0.70833333333333337</v>
      </c>
      <c r="C21" s="1">
        <v>0.70833333333333337</v>
      </c>
      <c r="D21" s="1">
        <v>0.70833333333333337</v>
      </c>
      <c r="E21" s="49"/>
      <c r="F21" s="1"/>
      <c r="G21" s="1">
        <v>0.70833333333333337</v>
      </c>
      <c r="H21" s="1">
        <v>0.70833333333333337</v>
      </c>
      <c r="I21" s="1">
        <v>0.70833333333333337</v>
      </c>
      <c r="J21" s="1">
        <v>0.70833333333333337</v>
      </c>
      <c r="K21" s="1">
        <v>0.70833333333333337</v>
      </c>
      <c r="L21" s="50"/>
      <c r="M21" s="1"/>
      <c r="N21" s="1">
        <v>0.70833333333333337</v>
      </c>
      <c r="O21" s="1"/>
      <c r="P21" s="1"/>
      <c r="Q21" s="1"/>
      <c r="R21" s="1"/>
      <c r="S21" s="62"/>
      <c r="T21" s="65" t="s">
        <v>8</v>
      </c>
      <c r="U21" s="18"/>
    </row>
    <row r="22" spans="1:21" ht="18.75" customHeight="1" x14ac:dyDescent="0.25">
      <c r="A22" s="23" t="s">
        <v>9</v>
      </c>
      <c r="B22" s="1">
        <v>2.0833333333333332E-2</v>
      </c>
      <c r="C22" s="1">
        <v>2.0833333333333332E-2</v>
      </c>
      <c r="D22" s="1">
        <v>2.0833333333333332E-2</v>
      </c>
      <c r="E22" s="49"/>
      <c r="F22" s="1"/>
      <c r="G22" s="1">
        <v>2.0833333333333332E-2</v>
      </c>
      <c r="H22" s="1">
        <v>2.0833333333333332E-2</v>
      </c>
      <c r="I22" s="1">
        <v>2.0833333333333332E-2</v>
      </c>
      <c r="J22" s="1">
        <v>2.0833333333333332E-2</v>
      </c>
      <c r="K22" s="1">
        <v>2.0833333333333332E-2</v>
      </c>
      <c r="L22" s="50"/>
      <c r="M22" s="1"/>
      <c r="N22" s="1">
        <v>2.0833333333333332E-2</v>
      </c>
      <c r="O22" s="67"/>
      <c r="P22" s="67"/>
      <c r="Q22" s="1"/>
      <c r="R22" s="1"/>
      <c r="S22" s="62"/>
      <c r="T22" s="24">
        <f t="shared" ref="T22:T31" si="7">SUM(B22:R22)</f>
        <v>0.1875</v>
      </c>
      <c r="U22" s="25" t="s">
        <v>9</v>
      </c>
    </row>
    <row r="23" spans="1:21" ht="18.75" customHeight="1" x14ac:dyDescent="0.25">
      <c r="A23" s="23" t="s">
        <v>10</v>
      </c>
      <c r="B23" s="50"/>
      <c r="C23" s="1"/>
      <c r="D23" s="72"/>
      <c r="E23" s="49"/>
      <c r="F23" s="1"/>
      <c r="G23" s="49"/>
      <c r="H23" s="1"/>
      <c r="I23" s="1"/>
      <c r="J23" s="1"/>
      <c r="K23" s="63"/>
      <c r="L23" s="50"/>
      <c r="M23" s="1"/>
      <c r="N23" s="49"/>
      <c r="O23" s="1"/>
      <c r="P23" s="1"/>
      <c r="Q23" s="1"/>
      <c r="R23" s="51"/>
      <c r="S23" s="66"/>
      <c r="T23" s="24">
        <f t="shared" si="7"/>
        <v>0</v>
      </c>
      <c r="U23" s="25" t="s">
        <v>11</v>
      </c>
    </row>
    <row r="24" spans="1:21" ht="18.75" customHeight="1" x14ac:dyDescent="0.25">
      <c r="A24" s="23" t="s">
        <v>12</v>
      </c>
      <c r="B24" s="52">
        <f>SUM(B21-B20-B22-B23)</f>
        <v>0.33333333333333337</v>
      </c>
      <c r="C24" s="2">
        <f>SUM(C21-C20-C22-C23)</f>
        <v>0.33333333333333337</v>
      </c>
      <c r="D24" s="53">
        <f t="shared" ref="D24:J24" si="8">SUM(D21-D20-D22-D23)</f>
        <v>0.33333333333333337</v>
      </c>
      <c r="E24" s="2">
        <f t="shared" si="8"/>
        <v>0</v>
      </c>
      <c r="F24" s="59">
        <f t="shared" si="8"/>
        <v>0</v>
      </c>
      <c r="G24" s="2">
        <f t="shared" si="8"/>
        <v>0.33333333333333337</v>
      </c>
      <c r="H24" s="2">
        <f>SUM(H21-H20-H22-H23)</f>
        <v>0.33333333333333337</v>
      </c>
      <c r="I24" s="2">
        <f>SUM(I21-I20-I22-I23)</f>
        <v>0.33333333333333337</v>
      </c>
      <c r="J24" s="2">
        <f t="shared" si="8"/>
        <v>0.33333333333333337</v>
      </c>
      <c r="K24" s="64">
        <f>SUM(K21-K20-K22-K23)</f>
        <v>0.33333333333333337</v>
      </c>
      <c r="L24" s="52">
        <f t="shared" ref="L24:R24" si="9">SUM(L21-L20-L22-L23)</f>
        <v>0</v>
      </c>
      <c r="M24" s="59">
        <f t="shared" si="9"/>
        <v>0</v>
      </c>
      <c r="N24" s="2">
        <f t="shared" si="9"/>
        <v>0.33333333333333337</v>
      </c>
      <c r="O24" s="2">
        <f t="shared" si="9"/>
        <v>0</v>
      </c>
      <c r="P24" s="2">
        <f t="shared" si="9"/>
        <v>0</v>
      </c>
      <c r="Q24" s="2">
        <f t="shared" si="9"/>
        <v>0</v>
      </c>
      <c r="R24" s="53">
        <f t="shared" si="9"/>
        <v>0</v>
      </c>
      <c r="S24" s="67"/>
      <c r="T24" s="24">
        <f t="shared" si="7"/>
        <v>3.0000000000000009</v>
      </c>
      <c r="U24" s="25" t="s">
        <v>13</v>
      </c>
    </row>
    <row r="25" spans="1:21" ht="18.75" customHeight="1" x14ac:dyDescent="0.25">
      <c r="A25" s="23" t="s">
        <v>14</v>
      </c>
      <c r="B25" s="50"/>
      <c r="C25" s="1"/>
      <c r="D25" s="72"/>
      <c r="E25" s="49"/>
      <c r="F25" s="1"/>
      <c r="G25" s="49"/>
      <c r="H25" s="1"/>
      <c r="I25" s="1"/>
      <c r="J25" s="1"/>
      <c r="K25" s="63"/>
      <c r="L25" s="50"/>
      <c r="M25" s="1"/>
      <c r="N25" s="49"/>
      <c r="O25" s="1"/>
      <c r="P25" s="1"/>
      <c r="Q25" s="1"/>
      <c r="R25" s="51"/>
      <c r="S25" s="62"/>
      <c r="T25" s="24">
        <f t="shared" si="7"/>
        <v>0</v>
      </c>
      <c r="U25" s="28" t="s">
        <v>15</v>
      </c>
    </row>
    <row r="26" spans="1:21" ht="18.75" customHeight="1" x14ac:dyDescent="0.25">
      <c r="A26" s="23" t="s">
        <v>16</v>
      </c>
      <c r="B26" s="50"/>
      <c r="C26" s="1"/>
      <c r="D26" s="72"/>
      <c r="E26" s="49"/>
      <c r="F26" s="1"/>
      <c r="G26" s="49"/>
      <c r="H26" s="1"/>
      <c r="I26" s="1"/>
      <c r="J26" s="1"/>
      <c r="K26" s="63"/>
      <c r="L26" s="50"/>
      <c r="M26" s="1"/>
      <c r="N26" s="49"/>
      <c r="O26" s="1"/>
      <c r="P26" s="1"/>
      <c r="Q26" s="1"/>
      <c r="R26" s="51"/>
      <c r="S26" s="62"/>
      <c r="T26" s="24">
        <f t="shared" si="7"/>
        <v>0</v>
      </c>
      <c r="U26" s="29">
        <v>1.2</v>
      </c>
    </row>
    <row r="27" spans="1:21" ht="18.75" customHeight="1" x14ac:dyDescent="0.25">
      <c r="A27" s="23" t="s">
        <v>17</v>
      </c>
      <c r="B27" s="50"/>
      <c r="C27" s="1"/>
      <c r="D27" s="72"/>
      <c r="E27" s="49"/>
      <c r="F27" s="1"/>
      <c r="G27" s="49"/>
      <c r="H27" s="1"/>
      <c r="I27" s="1"/>
      <c r="J27" s="1"/>
      <c r="K27" s="63"/>
      <c r="L27" s="50"/>
      <c r="M27" s="104"/>
      <c r="N27" s="49"/>
      <c r="O27" s="1"/>
      <c r="P27" s="1"/>
      <c r="Q27" s="1"/>
      <c r="R27" s="51"/>
      <c r="S27" s="62"/>
      <c r="T27" s="24">
        <f t="shared" si="7"/>
        <v>0</v>
      </c>
      <c r="U27" s="29">
        <v>1.333</v>
      </c>
    </row>
    <row r="28" spans="1:21" ht="18.75" customHeight="1" x14ac:dyDescent="0.25">
      <c r="A28" s="23" t="s">
        <v>18</v>
      </c>
      <c r="B28" s="50"/>
      <c r="C28" s="1"/>
      <c r="D28" s="72"/>
      <c r="E28" s="49"/>
      <c r="F28" s="1"/>
      <c r="G28" s="49"/>
      <c r="H28" s="1"/>
      <c r="I28" s="1"/>
      <c r="J28" s="1"/>
      <c r="K28" s="63"/>
      <c r="L28" s="50"/>
      <c r="M28" s="1"/>
      <c r="N28" s="49"/>
      <c r="O28" s="1"/>
      <c r="P28" s="1"/>
      <c r="Q28" s="1"/>
      <c r="R28" s="51"/>
      <c r="S28" s="62"/>
      <c r="T28" s="24">
        <f t="shared" si="7"/>
        <v>0</v>
      </c>
      <c r="U28" s="29">
        <v>1.5</v>
      </c>
    </row>
    <row r="29" spans="1:21" ht="18.75" customHeight="1" x14ac:dyDescent="0.25">
      <c r="A29" s="23" t="s">
        <v>19</v>
      </c>
      <c r="B29" s="50"/>
      <c r="C29" s="1"/>
      <c r="D29" s="72"/>
      <c r="E29" s="49"/>
      <c r="F29" s="1"/>
      <c r="G29" s="49"/>
      <c r="H29" s="1"/>
      <c r="I29" s="1"/>
      <c r="J29" s="1"/>
      <c r="K29" s="63"/>
      <c r="L29" s="50"/>
      <c r="M29" s="1"/>
      <c r="N29" s="49"/>
      <c r="O29" s="1"/>
      <c r="P29" s="1"/>
      <c r="Q29" s="1"/>
      <c r="R29" s="51"/>
      <c r="S29" s="62"/>
      <c r="T29" s="24">
        <f t="shared" si="7"/>
        <v>0</v>
      </c>
      <c r="U29" s="29">
        <v>2</v>
      </c>
    </row>
    <row r="30" spans="1:21" ht="18.75" customHeight="1" x14ac:dyDescent="0.25">
      <c r="A30" s="23" t="s">
        <v>20</v>
      </c>
      <c r="B30" s="50"/>
      <c r="C30" s="1"/>
      <c r="D30" s="72"/>
      <c r="E30" s="49"/>
      <c r="F30" s="1"/>
      <c r="G30" s="49"/>
      <c r="H30" s="1"/>
      <c r="I30" s="1"/>
      <c r="J30" s="1"/>
      <c r="K30" s="63"/>
      <c r="L30" s="50"/>
      <c r="M30" s="1"/>
      <c r="N30" s="49"/>
      <c r="O30" s="1"/>
      <c r="P30" s="1"/>
      <c r="Q30" s="1"/>
      <c r="R30" s="51"/>
      <c r="S30" s="62"/>
      <c r="T30" s="24">
        <f t="shared" si="7"/>
        <v>0</v>
      </c>
      <c r="U30" s="25" t="s">
        <v>21</v>
      </c>
    </row>
    <row r="31" spans="1:21" ht="18.75" customHeight="1" thickBot="1" x14ac:dyDescent="0.3">
      <c r="A31" s="33" t="s">
        <v>26</v>
      </c>
      <c r="B31" s="54"/>
      <c r="C31" s="55"/>
      <c r="D31" s="73"/>
      <c r="E31" s="57"/>
      <c r="F31" s="55"/>
      <c r="G31" s="57"/>
      <c r="H31" s="55"/>
      <c r="I31" s="55"/>
      <c r="J31" s="55"/>
      <c r="K31" s="71"/>
      <c r="L31" s="54"/>
      <c r="M31" s="55"/>
      <c r="N31" s="57"/>
      <c r="O31" s="55"/>
      <c r="P31" s="55"/>
      <c r="Q31" s="55" t="s">
        <v>25</v>
      </c>
      <c r="R31" s="56" t="s">
        <v>25</v>
      </c>
      <c r="S31" s="68"/>
      <c r="T31" s="69">
        <f t="shared" si="7"/>
        <v>0</v>
      </c>
      <c r="U31" s="25" t="s">
        <v>23</v>
      </c>
    </row>
    <row r="32" spans="1:21" ht="18.75" customHeight="1" thickBot="1" x14ac:dyDescent="0.3">
      <c r="A32" s="31" t="s">
        <v>24</v>
      </c>
      <c r="B32" s="4"/>
      <c r="C32" s="6"/>
      <c r="D32" s="97">
        <f>SUM(P9:S9,B24:D24)</f>
        <v>1.3333333333333335</v>
      </c>
      <c r="E32" s="77"/>
      <c r="F32" s="4"/>
      <c r="G32" s="4"/>
      <c r="H32" s="4"/>
      <c r="I32" s="4"/>
      <c r="J32" s="4"/>
      <c r="K32" s="97">
        <f>SUM(E24:K24)</f>
        <v>1.666666666666667</v>
      </c>
      <c r="L32" s="4"/>
      <c r="M32" s="4"/>
      <c r="N32" s="4"/>
      <c r="O32" s="4"/>
      <c r="P32" s="4"/>
      <c r="Q32" s="4"/>
      <c r="R32" s="98">
        <f>SUM(L24:R24)</f>
        <v>0.33333333333333337</v>
      </c>
      <c r="S32" s="103"/>
      <c r="T32" s="13"/>
      <c r="U32" s="18"/>
    </row>
    <row r="33" spans="1:21" ht="10.5" customHeight="1" x14ac:dyDescent="0.25">
      <c r="A33" s="79"/>
      <c r="B33" s="15"/>
      <c r="C33" s="17"/>
      <c r="D33" s="80"/>
      <c r="E33" s="15"/>
      <c r="F33" s="15"/>
      <c r="G33" s="15"/>
      <c r="H33" s="15"/>
      <c r="I33" s="15"/>
      <c r="J33" s="15"/>
      <c r="K33" s="80"/>
      <c r="L33" s="15"/>
      <c r="M33" s="15"/>
      <c r="N33" s="15"/>
      <c r="O33" s="15"/>
      <c r="P33" s="15"/>
      <c r="Q33" s="15"/>
      <c r="R33" s="80"/>
      <c r="S33" s="15"/>
      <c r="T33" s="17"/>
      <c r="U33" s="18"/>
    </row>
    <row r="34" spans="1:21" ht="21" customHeight="1" x14ac:dyDescent="0.25">
      <c r="A34" s="32"/>
      <c r="B34" s="15"/>
      <c r="C34" s="81" t="s">
        <v>67</v>
      </c>
      <c r="D34" s="15"/>
      <c r="E34" s="15"/>
      <c r="F34" s="15"/>
      <c r="G34" s="15"/>
      <c r="H34" s="81" t="s">
        <v>67</v>
      </c>
      <c r="I34" s="15"/>
      <c r="J34" s="15"/>
      <c r="L34" s="15"/>
      <c r="M34" s="81" t="s">
        <v>67</v>
      </c>
      <c r="N34" s="15"/>
      <c r="O34" s="15"/>
      <c r="P34" s="81" t="s">
        <v>27</v>
      </c>
      <c r="Q34" s="17"/>
      <c r="R34" s="15"/>
      <c r="U34" s="18"/>
    </row>
    <row r="35" spans="1:21" ht="22.5" customHeight="1" x14ac:dyDescent="0.25">
      <c r="A35" s="34" t="s">
        <v>28</v>
      </c>
      <c r="B35" s="85">
        <f>SUM(T9+T24)</f>
        <v>6.0000000000000018</v>
      </c>
      <c r="C35" s="86">
        <f>B35*24</f>
        <v>144.00000000000006</v>
      </c>
      <c r="D35" s="35"/>
      <c r="E35" s="17"/>
      <c r="F35" s="87" t="s">
        <v>29</v>
      </c>
      <c r="G35" s="85">
        <f>(T10+T25)</f>
        <v>0</v>
      </c>
      <c r="H35" s="86">
        <f>G35*24</f>
        <v>0</v>
      </c>
      <c r="J35" s="93"/>
      <c r="K35" s="94" t="s">
        <v>30</v>
      </c>
      <c r="L35" s="85">
        <f>T15+T30</f>
        <v>0</v>
      </c>
      <c r="M35" s="83">
        <f>L35*24</f>
        <v>0</v>
      </c>
      <c r="N35" s="84" t="s">
        <v>33</v>
      </c>
      <c r="O35" s="91">
        <v>702</v>
      </c>
      <c r="P35" s="86">
        <f>M35*O35</f>
        <v>0</v>
      </c>
      <c r="Q35" s="95" t="s">
        <v>31</v>
      </c>
      <c r="U35" s="39"/>
    </row>
    <row r="36" spans="1:21" ht="21" customHeight="1" x14ac:dyDescent="0.25">
      <c r="A36" s="99"/>
      <c r="C36" s="15"/>
      <c r="D36" s="15"/>
      <c r="E36" s="17"/>
      <c r="F36" s="87" t="s">
        <v>32</v>
      </c>
      <c r="G36" s="85">
        <f>(T11+T26)</f>
        <v>0</v>
      </c>
      <c r="H36" s="86">
        <f>G36*24</f>
        <v>0</v>
      </c>
      <c r="I36" s="17"/>
      <c r="J36" s="15"/>
      <c r="L36" s="15"/>
      <c r="M36" s="84"/>
      <c r="N36" s="38"/>
      <c r="O36" s="92"/>
      <c r="P36" s="82"/>
      <c r="Q36" s="96"/>
      <c r="U36" s="18"/>
    </row>
    <row r="37" spans="1:21" ht="21" customHeight="1" x14ac:dyDescent="0.25">
      <c r="A37" s="99"/>
      <c r="E37" s="17"/>
      <c r="F37" s="87" t="s">
        <v>34</v>
      </c>
      <c r="G37" s="85">
        <f>(T12+T27)</f>
        <v>0</v>
      </c>
      <c r="H37" s="86">
        <f>G37*24</f>
        <v>0</v>
      </c>
      <c r="K37" s="94" t="s">
        <v>35</v>
      </c>
      <c r="L37" s="85">
        <f>T16+T31</f>
        <v>4.1666666666666664E-2</v>
      </c>
      <c r="M37" s="83">
        <f>L37*24</f>
        <v>1</v>
      </c>
      <c r="N37" s="84" t="s">
        <v>33</v>
      </c>
      <c r="O37" s="92">
        <v>100</v>
      </c>
      <c r="P37" s="86">
        <f>M37*O37</f>
        <v>100</v>
      </c>
      <c r="Q37" s="96" t="s">
        <v>31</v>
      </c>
      <c r="U37" s="18"/>
    </row>
    <row r="38" spans="1:21" ht="21" customHeight="1" x14ac:dyDescent="0.25">
      <c r="A38" s="99"/>
      <c r="E38" s="17"/>
      <c r="F38" s="87" t="s">
        <v>36</v>
      </c>
      <c r="G38" s="85">
        <f>(T13+T28)</f>
        <v>0</v>
      </c>
      <c r="H38" s="86">
        <f>G38*24</f>
        <v>0</v>
      </c>
      <c r="I38" s="17"/>
      <c r="J38" s="15"/>
      <c r="L38" s="15"/>
      <c r="M38" s="38"/>
      <c r="N38" s="36"/>
      <c r="O38" s="87"/>
      <c r="P38" s="36"/>
      <c r="Q38" s="81"/>
      <c r="R38" s="15"/>
      <c r="S38" s="17"/>
      <c r="T38" s="17"/>
      <c r="U38" s="18"/>
    </row>
    <row r="39" spans="1:21" ht="21" customHeight="1" x14ac:dyDescent="0.25">
      <c r="A39" s="99"/>
      <c r="E39" s="15"/>
      <c r="F39" s="87" t="s">
        <v>37</v>
      </c>
      <c r="G39" s="85">
        <f>(T14+T29)</f>
        <v>0</v>
      </c>
      <c r="H39" s="86">
        <f>G39*24</f>
        <v>0</v>
      </c>
      <c r="I39" s="15"/>
      <c r="K39" s="81" t="s">
        <v>68</v>
      </c>
      <c r="L39" s="15"/>
      <c r="M39" s="88">
        <v>0</v>
      </c>
      <c r="N39" s="81" t="s">
        <v>33</v>
      </c>
      <c r="O39" s="92">
        <v>0</v>
      </c>
      <c r="P39" s="86">
        <f>M39*O39</f>
        <v>0</v>
      </c>
      <c r="Q39" s="96" t="s">
        <v>31</v>
      </c>
      <c r="R39" s="15"/>
      <c r="S39" s="17"/>
      <c r="T39" s="17"/>
      <c r="U39" s="18"/>
    </row>
    <row r="40" spans="1:21" ht="15" x14ac:dyDescent="0.25">
      <c r="A40" s="99"/>
      <c r="E40" s="15"/>
      <c r="F40" s="36"/>
      <c r="G40" s="75"/>
      <c r="H40" s="37"/>
      <c r="I40" s="15"/>
      <c r="J40" s="15"/>
      <c r="K40" s="15"/>
      <c r="L40" s="38"/>
      <c r="M40" s="74"/>
      <c r="N40" s="76"/>
      <c r="O40" s="15"/>
      <c r="P40" s="15"/>
      <c r="Q40" s="15"/>
      <c r="R40" s="15"/>
      <c r="S40" s="17"/>
      <c r="T40" s="17"/>
      <c r="U40" s="18"/>
    </row>
    <row r="41" spans="1:21" ht="15" x14ac:dyDescent="0.25">
      <c r="A41" s="99"/>
      <c r="E41" s="15"/>
      <c r="F41" s="36"/>
      <c r="G41" s="75"/>
      <c r="H41" s="37"/>
      <c r="I41" s="15"/>
      <c r="J41" s="15"/>
      <c r="K41" s="15"/>
      <c r="L41" s="38"/>
      <c r="M41" s="74"/>
      <c r="N41" s="76"/>
      <c r="O41" s="15"/>
      <c r="P41" s="15"/>
      <c r="Q41" s="15"/>
      <c r="R41" s="15"/>
      <c r="S41" s="17"/>
      <c r="T41" s="17"/>
      <c r="U41" s="18"/>
    </row>
    <row r="42" spans="1:21" ht="15" x14ac:dyDescent="0.25">
      <c r="A42" s="99"/>
      <c r="E42" s="15"/>
      <c r="F42" s="36"/>
      <c r="G42" s="75"/>
      <c r="H42" s="37"/>
      <c r="I42" s="15"/>
      <c r="J42" s="15"/>
      <c r="K42" s="15"/>
      <c r="L42" s="38"/>
      <c r="M42" s="74"/>
      <c r="N42" s="76"/>
      <c r="O42" s="15"/>
      <c r="P42" s="15"/>
      <c r="Q42" s="15"/>
      <c r="R42" s="15"/>
      <c r="S42" s="17"/>
      <c r="T42" s="17"/>
      <c r="U42" s="18"/>
    </row>
    <row r="43" spans="1:21" ht="15" x14ac:dyDescent="0.25">
      <c r="A43" s="99"/>
      <c r="E43" s="15"/>
      <c r="F43" s="36"/>
      <c r="G43" s="75"/>
      <c r="H43" s="37"/>
      <c r="I43" s="15"/>
      <c r="J43" s="15"/>
      <c r="K43" s="15"/>
      <c r="L43" s="38"/>
      <c r="M43" s="74"/>
      <c r="N43" s="76"/>
      <c r="O43" s="15"/>
      <c r="P43" s="15"/>
      <c r="Q43" s="15"/>
      <c r="R43" s="15"/>
      <c r="S43" s="17"/>
      <c r="T43" s="17"/>
      <c r="U43" s="18"/>
    </row>
    <row r="44" spans="1:21" ht="13.8" thickBot="1" x14ac:dyDescent="0.3">
      <c r="A44" s="100"/>
      <c r="B44" s="40"/>
      <c r="C44" s="40"/>
      <c r="D44" s="40"/>
      <c r="F44" s="40"/>
      <c r="G44" s="40"/>
      <c r="H44" s="15"/>
      <c r="L44" s="40"/>
      <c r="M44" s="40"/>
      <c r="N44" s="40"/>
      <c r="O44" s="40"/>
      <c r="Q44" s="40"/>
      <c r="R44" s="40"/>
      <c r="S44" s="15"/>
      <c r="T44" s="15"/>
      <c r="U44" s="90"/>
    </row>
    <row r="45" spans="1:21" ht="22.5" customHeight="1" thickBot="1" x14ac:dyDescent="0.3">
      <c r="A45" s="101" t="s">
        <v>38</v>
      </c>
      <c r="B45" s="42"/>
      <c r="C45" s="42"/>
      <c r="D45" s="43"/>
      <c r="E45" s="43"/>
      <c r="F45" s="41" t="s">
        <v>70</v>
      </c>
      <c r="G45" s="40"/>
      <c r="H45" s="40"/>
      <c r="I45" s="41"/>
      <c r="J45" s="42"/>
      <c r="K45" s="42"/>
      <c r="L45" s="41" t="s">
        <v>73</v>
      </c>
      <c r="M45" s="42"/>
      <c r="N45" s="42"/>
      <c r="O45" s="43"/>
      <c r="P45" s="89"/>
      <c r="Q45" s="41" t="s">
        <v>70</v>
      </c>
      <c r="R45" s="40"/>
      <c r="S45" s="40"/>
      <c r="T45" s="43"/>
      <c r="U45" s="44"/>
    </row>
    <row r="46" spans="1:21" x14ac:dyDescent="0.25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7"/>
      <c r="T46" s="17"/>
      <c r="U46" s="17"/>
    </row>
  </sheetData>
  <mergeCells count="5">
    <mergeCell ref="R1:U1"/>
    <mergeCell ref="B2:C2"/>
    <mergeCell ref="B1:C1"/>
    <mergeCell ref="M2:P2"/>
    <mergeCell ref="F2:I2"/>
  </mergeCells>
  <phoneticPr fontId="0" type="noConversion"/>
  <pageMargins left="0.24" right="0.16" top="0.27" bottom="0.31" header="0.26" footer="0.31"/>
  <pageSetup paperSize="9" scale="61" orientation="landscape" horizontalDpi="1200" verticalDpi="1200" r:id="rId1"/>
  <headerFooter alignWithMargins="0">
    <oddHeader>&amp;L&amp;"CorpoS"&amp;10&amp;K007a93Internal&amp;1#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Timesheet</vt:lpstr>
      <vt:lpstr>Timesheet!Print_Area</vt:lpstr>
    </vt:vector>
  </TitlesOfParts>
  <Company>FNBCorporate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f3042634</dc:creator>
  <cp:lastModifiedBy>Shweta Srivastava</cp:lastModifiedBy>
  <cp:lastPrinted>2017-10-12T11:06:24Z</cp:lastPrinted>
  <dcterms:created xsi:type="dcterms:W3CDTF">2005-04-09T02:21:56Z</dcterms:created>
  <dcterms:modified xsi:type="dcterms:W3CDTF">2025-08-25T19:28:34Z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2022-04-19T13:21:26Z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5fa88203-9bcc-420d-960c-c518a513bf71</vt:lpwstr>
  </property>
  <property fmtid="{D5CDD505-2E9C-101B-9397-08002B2CF9AE}" pid="8" name="MSIP_Label_924dbb1d-991d-4bbd-aad5-33bac1d8ffaf_ContentBits">
    <vt:lpwstr>1</vt:lpwstr>
  </property>
</Properties>
</file>