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ISC\Pendrive\Plastic\MyFileData\"/>
    </mc:Choice>
  </mc:AlternateContent>
  <bookViews>
    <workbookView xWindow="-120" yWindow="-120" windowWidth="20736" windowHeight="11316" firstSheet="29" activeTab="37"/>
  </bookViews>
  <sheets>
    <sheet name="Sheet1" sheetId="1" r:id="rId1"/>
    <sheet name="Sheet8" sheetId="18" r:id="rId2"/>
    <sheet name="Sheet6" sheetId="10" r:id="rId3"/>
    <sheet name="Sheet5" sheetId="8" r:id="rId4"/>
    <sheet name="Sheet2" sheetId="4" r:id="rId5"/>
    <sheet name="Sheet4" sheetId="6" r:id="rId6"/>
    <sheet name="Guest" sheetId="7" r:id="rId7"/>
    <sheet name="BRAI" sheetId="9" r:id="rId8"/>
    <sheet name="Aug2018" sheetId="11" r:id="rId9"/>
    <sheet name="Sep2018" sheetId="12" r:id="rId10"/>
    <sheet name="Oct2018" sheetId="13" r:id="rId11"/>
    <sheet name="Non2018" sheetId="14" r:id="rId12"/>
    <sheet name="Dec2018" sheetId="15" r:id="rId13"/>
    <sheet name="Feb2019" sheetId="17" r:id="rId14"/>
    <sheet name="March2019" sheetId="19" r:id="rId15"/>
    <sheet name="April2019" sheetId="20" r:id="rId16"/>
    <sheet name="June2019" sheetId="21" r:id="rId17"/>
    <sheet name="July2019" sheetId="22" r:id="rId18"/>
    <sheet name="Aug2019" sheetId="23" r:id="rId19"/>
    <sheet name="Sep2019" sheetId="24" r:id="rId20"/>
    <sheet name="OCT2019" sheetId="25" r:id="rId21"/>
    <sheet name="NOV2019" sheetId="26" r:id="rId22"/>
    <sheet name="DEC2019" sheetId="27" r:id="rId23"/>
    <sheet name="Jan2020" sheetId="28" r:id="rId24"/>
    <sheet name="Feb 2020" sheetId="29" r:id="rId25"/>
    <sheet name="March 2020" sheetId="30" r:id="rId26"/>
    <sheet name="APR 2020" sheetId="31" r:id="rId27"/>
    <sheet name="MAy2020" sheetId="32" r:id="rId28"/>
    <sheet name="June2020" sheetId="33" r:id="rId29"/>
    <sheet name="July2020" sheetId="34" r:id="rId30"/>
    <sheet name="Aug2020" sheetId="35" r:id="rId31"/>
    <sheet name="Sep2020" sheetId="36" r:id="rId32"/>
    <sheet name="OCT2020" sheetId="37" r:id="rId33"/>
    <sheet name="Nov2020" sheetId="38" r:id="rId34"/>
    <sheet name="Dec2020" sheetId="39" r:id="rId35"/>
    <sheet name="Jan2021" sheetId="40" r:id="rId36"/>
    <sheet name="Feb201" sheetId="41" r:id="rId37"/>
    <sheet name="July2023" sheetId="42" r:id="rId3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4" l="1"/>
  <c r="I17" i="4"/>
  <c r="J30" i="7" l="1"/>
  <c r="J33" i="7" s="1"/>
  <c r="J29" i="7"/>
  <c r="J32" i="7" s="1"/>
  <c r="J28" i="7"/>
  <c r="K25" i="1" l="1"/>
</calcChain>
</file>

<file path=xl/sharedStrings.xml><?xml version="1.0" encoding="utf-8"?>
<sst xmlns="http://schemas.openxmlformats.org/spreadsheetml/2006/main" count="1998" uniqueCount="448">
  <si>
    <t>rent</t>
  </si>
  <si>
    <t>power</t>
  </si>
  <si>
    <t>car</t>
  </si>
  <si>
    <t>yashvi</t>
  </si>
  <si>
    <t>shavi</t>
  </si>
  <si>
    <t>petrol</t>
  </si>
  <si>
    <t>milk</t>
  </si>
  <si>
    <t>maid</t>
  </si>
  <si>
    <t>god</t>
  </si>
  <si>
    <t>car clean</t>
  </si>
  <si>
    <t>swimming</t>
  </si>
  <si>
    <t>dstv</t>
  </si>
  <si>
    <t>2b2b</t>
  </si>
  <si>
    <t>grocery</t>
  </si>
  <si>
    <t>shaivi cycle</t>
  </si>
  <si>
    <t>maal</t>
  </si>
  <si>
    <t>yashvi birthday</t>
  </si>
  <si>
    <t>EMI</t>
  </si>
  <si>
    <t>shaivi</t>
  </si>
  <si>
    <t>car claen</t>
  </si>
  <si>
    <t>home insurance</t>
  </si>
  <si>
    <t>internet</t>
  </si>
  <si>
    <r>
      <t>india</t>
    </r>
    <r>
      <rPr>
        <sz val="11"/>
        <color theme="9" tint="-0.249977111117893"/>
        <rFont val="Calibri"/>
        <family val="2"/>
        <scheme val="minor"/>
      </rPr>
      <t>*</t>
    </r>
  </si>
  <si>
    <t>Brai</t>
  </si>
  <si>
    <t>Iphone SE</t>
  </si>
  <si>
    <t>Donation Sharat</t>
  </si>
  <si>
    <t>New Year party</t>
  </si>
  <si>
    <t xml:space="preserve">Jan </t>
  </si>
  <si>
    <t>Salary</t>
  </si>
  <si>
    <t>yashvi Shaivi Fees</t>
  </si>
  <si>
    <t>airport</t>
  </si>
  <si>
    <t>Feb</t>
  </si>
  <si>
    <t>Drinks and choc</t>
  </si>
  <si>
    <t>Eastern Cape Albers_1</t>
  </si>
  <si>
    <t>Eastern Cape Albers_2</t>
  </si>
  <si>
    <t>Free State_Albers</t>
  </si>
  <si>
    <t>Gauteng Albers_1</t>
  </si>
  <si>
    <t>Gauteng_ Albers_1</t>
  </si>
  <si>
    <t>GT421_Albers</t>
  </si>
  <si>
    <t>GT422_Albers</t>
  </si>
  <si>
    <t>GT423_Albers</t>
  </si>
  <si>
    <t>GT481_Albers</t>
  </si>
  <si>
    <t>GT482_Albers</t>
  </si>
  <si>
    <t>GT483_Albers</t>
  </si>
  <si>
    <t>GT484_Albers</t>
  </si>
  <si>
    <t>GTJHB_Albers</t>
  </si>
  <si>
    <t>GTTSH_Albers</t>
  </si>
  <si>
    <t>KZN Albers_1</t>
  </si>
  <si>
    <t>KZN Albers_2</t>
  </si>
  <si>
    <t>Limpopo_Albers</t>
  </si>
  <si>
    <t>Mpumalanga Albers</t>
  </si>
  <si>
    <t>North West_Albers</t>
  </si>
  <si>
    <t>Northern_Cape_Albers</t>
  </si>
  <si>
    <t>Western Cape_Albers</t>
  </si>
  <si>
    <t>TempDewling</t>
  </si>
  <si>
    <t>TempDewling2</t>
  </si>
  <si>
    <t>__MappingTID_OMID</t>
  </si>
  <si>
    <t>FinalData</t>
  </si>
  <si>
    <t>TempDewling3</t>
  </si>
  <si>
    <t>TempDewling4</t>
  </si>
  <si>
    <t>TempDewling5</t>
  </si>
  <si>
    <t>TempDewling6</t>
  </si>
  <si>
    <t>TempDewling7</t>
  </si>
  <si>
    <t>TempDewling8</t>
  </si>
  <si>
    <t>TempDewling9</t>
  </si>
  <si>
    <t>TempDewling10</t>
  </si>
  <si>
    <t>TempDewlin11</t>
  </si>
  <si>
    <t>insert into  testDewling.dbo.__MappingTID_OMID(TID, OMID)</t>
  </si>
  <si>
    <t>select TID, OMID from TempDewling5.dbo.FinalDataTbl_Northern_Cape_Albers</t>
  </si>
  <si>
    <t>INDIA</t>
  </si>
  <si>
    <t>shopping SA</t>
  </si>
  <si>
    <t>Internet</t>
  </si>
  <si>
    <t>EMI + levy</t>
  </si>
  <si>
    <t>Bhaskar</t>
  </si>
  <si>
    <t>Family Head</t>
  </si>
  <si>
    <t>Number Of Member</t>
  </si>
  <si>
    <t>Adult</t>
  </si>
  <si>
    <t>kids</t>
  </si>
  <si>
    <t>Arvind</t>
  </si>
  <si>
    <t>Sanjib</t>
  </si>
  <si>
    <t>Rajesh</t>
  </si>
  <si>
    <t>Sharat</t>
  </si>
  <si>
    <t>Vijay Sir</t>
  </si>
  <si>
    <t>Sandy</t>
  </si>
  <si>
    <t>Upendra</t>
  </si>
  <si>
    <t>Dhrubo</t>
  </si>
  <si>
    <t>Subhash</t>
  </si>
  <si>
    <t>S</t>
  </si>
  <si>
    <t>Shukla</t>
  </si>
  <si>
    <t>Raja Ravi</t>
  </si>
  <si>
    <t>Sanjai Jain</t>
  </si>
  <si>
    <t>Professer Ji</t>
  </si>
  <si>
    <t>Mahesh</t>
  </si>
  <si>
    <t>Ram</t>
  </si>
  <si>
    <t>Kirti</t>
  </si>
  <si>
    <t>Sudhir</t>
  </si>
  <si>
    <t>Abhay (Appu)3</t>
  </si>
  <si>
    <t>Sumit Sir</t>
  </si>
  <si>
    <t>Amit Sakale</t>
  </si>
  <si>
    <t>Jyoti</t>
  </si>
  <si>
    <t>Ashatha</t>
  </si>
  <si>
    <t>Total Members</t>
  </si>
  <si>
    <t>Adult Members</t>
  </si>
  <si>
    <t>KIDS MEMBERs</t>
  </si>
  <si>
    <t>Expendature On Adults Member</t>
  </si>
  <si>
    <t>Expendature On Kids Member</t>
  </si>
  <si>
    <t>March</t>
  </si>
  <si>
    <t>SBI</t>
  </si>
  <si>
    <t>April</t>
  </si>
  <si>
    <t>rent*</t>
  </si>
  <si>
    <t>power*</t>
  </si>
  <si>
    <t>petrol*</t>
  </si>
  <si>
    <t>milk and fruit Veg*</t>
  </si>
  <si>
    <t>car clean*</t>
  </si>
  <si>
    <t>grocery*</t>
  </si>
  <si>
    <t>Misry</t>
  </si>
  <si>
    <t>bubble*</t>
  </si>
  <si>
    <t xml:space="preserve">Handy andy </t>
  </si>
  <si>
    <t>Sunlight (pot)</t>
  </si>
  <si>
    <t>OMO bleach</t>
  </si>
  <si>
    <t>refine oil 5 ltr</t>
  </si>
  <si>
    <t>Rutina</t>
  </si>
  <si>
    <t>Diapers</t>
  </si>
  <si>
    <t>E45 cream</t>
  </si>
  <si>
    <t>Suji</t>
  </si>
  <si>
    <t>aata</t>
  </si>
  <si>
    <t>Rice</t>
  </si>
  <si>
    <t>1/2 kg</t>
  </si>
  <si>
    <t xml:space="preserve">Besan </t>
  </si>
  <si>
    <t>1 kg</t>
  </si>
  <si>
    <t>5 kg pkt</t>
  </si>
  <si>
    <t>yellow moong daal</t>
  </si>
  <si>
    <t>1kg</t>
  </si>
  <si>
    <t>Green moong daal</t>
  </si>
  <si>
    <t>Rajma</t>
  </si>
  <si>
    <t>Biscuit</t>
  </si>
  <si>
    <t>2-3 type</t>
  </si>
  <si>
    <t>Chole</t>
  </si>
  <si>
    <t>Green Chili</t>
  </si>
  <si>
    <t>potato</t>
  </si>
  <si>
    <t>tomato</t>
  </si>
  <si>
    <t>garlic</t>
  </si>
  <si>
    <t>ginger</t>
  </si>
  <si>
    <t>green coriender</t>
  </si>
  <si>
    <t>red onion 4 pcs</t>
  </si>
  <si>
    <t xml:space="preserve">Idli  </t>
  </si>
  <si>
    <t>2 pkt</t>
  </si>
  <si>
    <t>makahna</t>
  </si>
  <si>
    <t>3 pkt</t>
  </si>
  <si>
    <t>Pure Sope</t>
  </si>
  <si>
    <t>1 full pkt</t>
  </si>
  <si>
    <t>2 small for school</t>
  </si>
  <si>
    <t>6 pkt</t>
  </si>
  <si>
    <t>Mix Ghee for puja</t>
  </si>
  <si>
    <t>Red Rose Agarbatti(navkaar)</t>
  </si>
  <si>
    <t>Kitchen Towel</t>
  </si>
  <si>
    <t>toilet tishu</t>
  </si>
  <si>
    <t>Servets</t>
  </si>
  <si>
    <t>Baby wash &amp; Soap organic</t>
  </si>
  <si>
    <t>Amit</t>
  </si>
  <si>
    <t>shweta</t>
  </si>
  <si>
    <t>100/0</t>
  </si>
  <si>
    <t>90/10</t>
  </si>
  <si>
    <t>80/20</t>
  </si>
  <si>
    <t>70/30</t>
  </si>
  <si>
    <t>City Power Area</t>
  </si>
  <si>
    <t>Midrand</t>
  </si>
  <si>
    <t>ALEXANDRA</t>
  </si>
  <si>
    <t>HURSTHILL</t>
  </si>
  <si>
    <t>LENASIA</t>
  </si>
  <si>
    <t>RANDBURG</t>
  </si>
  <si>
    <t>REUVEN</t>
  </si>
  <si>
    <t>ROODEPOORT</t>
  </si>
  <si>
    <t>SIEMERT</t>
  </si>
  <si>
    <t>Caption</t>
  </si>
  <si>
    <t>Total Property</t>
  </si>
  <si>
    <t>Account Number is blank</t>
  </si>
  <si>
    <t>Suprima Matching</t>
  </si>
  <si>
    <t>MRQC Account Number Matching</t>
  </si>
  <si>
    <t>Medical</t>
  </si>
  <si>
    <t>May</t>
  </si>
  <si>
    <t>Milenious</t>
  </si>
  <si>
    <t>Simran</t>
  </si>
  <si>
    <t>Poonam</t>
  </si>
  <si>
    <t>lubna</t>
  </si>
  <si>
    <t>heena</t>
  </si>
  <si>
    <t>1 (5 number)</t>
  </si>
  <si>
    <t xml:space="preserve">Sun cream moisher Nevia </t>
  </si>
  <si>
    <t>July</t>
  </si>
  <si>
    <t>Vijay</t>
  </si>
  <si>
    <t>brai party</t>
  </si>
  <si>
    <t>levy</t>
  </si>
  <si>
    <t>Aug</t>
  </si>
  <si>
    <t>Laptop Month</t>
  </si>
  <si>
    <t>milk and fruit Veg</t>
  </si>
  <si>
    <t>Fridge</t>
  </si>
  <si>
    <t>Mode</t>
  </si>
  <si>
    <t>CC</t>
  </si>
  <si>
    <t>DB</t>
  </si>
  <si>
    <t>CASH</t>
  </si>
  <si>
    <t>House Fixing Works</t>
  </si>
  <si>
    <t>Patric Charges</t>
  </si>
  <si>
    <t>Fridge OLD Amount</t>
  </si>
  <si>
    <t>Tablet Month</t>
  </si>
  <si>
    <t>Sep</t>
  </si>
  <si>
    <t>Mislanious</t>
  </si>
  <si>
    <t>0105952306</t>
  </si>
  <si>
    <t>Juicetel Contact</t>
  </si>
  <si>
    <t>TWEP@550836</t>
  </si>
  <si>
    <t>WI FI Password</t>
  </si>
  <si>
    <t>0728575998</t>
  </si>
  <si>
    <t>GATE INTERCOM:</t>
  </si>
  <si>
    <t>0647270879</t>
  </si>
  <si>
    <t>Guard House 2:</t>
  </si>
  <si>
    <t>0790439675</t>
  </si>
  <si>
    <t>Guard House 1:</t>
  </si>
  <si>
    <t>The West End EMERGENCY NUMBER</t>
  </si>
  <si>
    <t>0611175105</t>
  </si>
  <si>
    <t>Bhaskar Veligeti</t>
  </si>
  <si>
    <t>0734024376</t>
  </si>
  <si>
    <t>0842343813</t>
  </si>
  <si>
    <t>0737603581</t>
  </si>
  <si>
    <t>DJ89DLGP</t>
  </si>
  <si>
    <t xml:space="preserve">CAR </t>
  </si>
  <si>
    <t>EMERGENCY NUMBER</t>
  </si>
  <si>
    <t>Classic Delta Core</t>
  </si>
  <si>
    <t>Medical aid</t>
  </si>
  <si>
    <t>Discovery Member Ship Number</t>
  </si>
  <si>
    <t>0744653338, 0847161231</t>
  </si>
  <si>
    <t xml:space="preserve">Mobile Number </t>
  </si>
  <si>
    <t>836 The West End, 9th &amp; 11th Road, Erand Gardens, 1682</t>
  </si>
  <si>
    <t>Address</t>
  </si>
  <si>
    <t>Ned Bank Branch Code</t>
  </si>
  <si>
    <t>Nedbank</t>
  </si>
  <si>
    <t>SA ID</t>
  </si>
  <si>
    <t>Electricity Meter Number</t>
  </si>
  <si>
    <t>04249402027</t>
  </si>
  <si>
    <t>Mislenious</t>
  </si>
  <si>
    <t>virgin active</t>
  </si>
  <si>
    <t>Ucmas</t>
  </si>
  <si>
    <t>Chess</t>
  </si>
  <si>
    <t>Burglar bar</t>
  </si>
  <si>
    <t>Nov</t>
  </si>
  <si>
    <t>Books Shaivi</t>
  </si>
  <si>
    <t>Swimming</t>
  </si>
  <si>
    <t>done</t>
  </si>
  <si>
    <t>Jan</t>
  </si>
  <si>
    <t>Driving</t>
  </si>
  <si>
    <t>Cash</t>
  </si>
  <si>
    <t>d</t>
  </si>
  <si>
    <t>DISCOVERY LIFE</t>
  </si>
  <si>
    <t>Discovery Gold Credit Card</t>
  </si>
  <si>
    <t>FEB</t>
  </si>
  <si>
    <t>Status</t>
  </si>
  <si>
    <t>Vijay(Medicin)</t>
  </si>
  <si>
    <t>Rajesh(Burj Khalifa)</t>
  </si>
  <si>
    <t>car break</t>
  </si>
  <si>
    <t>Rates</t>
  </si>
  <si>
    <t>netflix</t>
  </si>
  <si>
    <t>soccer Yashvi</t>
  </si>
  <si>
    <t>APR</t>
  </si>
  <si>
    <t>JUNE</t>
  </si>
  <si>
    <t>Internet Mweb</t>
  </si>
  <si>
    <t>stress</t>
  </si>
  <si>
    <t>SKRIL</t>
  </si>
  <si>
    <t>AUG</t>
  </si>
  <si>
    <t>DEC</t>
  </si>
  <si>
    <t>BOX</t>
  </si>
  <si>
    <t>JAN</t>
  </si>
  <si>
    <t>Balerina Yashvi</t>
  </si>
  <si>
    <t>Grocery Calculation</t>
  </si>
  <si>
    <t>Date</t>
  </si>
  <si>
    <t>Resson</t>
  </si>
  <si>
    <t>Amount</t>
  </si>
  <si>
    <t>25/01/2020</t>
  </si>
  <si>
    <t>China Town Home Express</t>
  </si>
  <si>
    <t>Tajmahal</t>
  </si>
  <si>
    <t>26/01/2020</t>
  </si>
  <si>
    <t>Fruit &amp; Veg</t>
  </si>
  <si>
    <t>Pilaros</t>
  </si>
  <si>
    <t>Electricity</t>
  </si>
  <si>
    <t>Levy</t>
  </si>
  <si>
    <t>MRP</t>
  </si>
  <si>
    <t>Dealz</t>
  </si>
  <si>
    <t>Icecream</t>
  </si>
  <si>
    <t>Discham</t>
  </si>
  <si>
    <t>Pep Store</t>
  </si>
  <si>
    <t>27/01/2020</t>
  </si>
  <si>
    <t>Carlswals spar</t>
  </si>
  <si>
    <t>28/01/2020</t>
  </si>
  <si>
    <t>29/01/2020</t>
  </si>
  <si>
    <t>Life Discovery</t>
  </si>
  <si>
    <t>Cell c Tablet</t>
  </si>
  <si>
    <t>home EMI</t>
  </si>
  <si>
    <t>Petrol</t>
  </si>
  <si>
    <t>Carlswald Spar</t>
  </si>
  <si>
    <t>B Nagiya Chicken</t>
  </si>
  <si>
    <t>Tajmahal Mithayi</t>
  </si>
  <si>
    <t>Beers Liqour</t>
  </si>
  <si>
    <t>RAMA Pooja stuff</t>
  </si>
  <si>
    <t>31/01/2020</t>
  </si>
  <si>
    <t>pnp</t>
  </si>
  <si>
    <t>101..29</t>
  </si>
  <si>
    <t>Nisaan Midrand</t>
  </si>
  <si>
    <t>01/02/2020</t>
  </si>
  <si>
    <t>Wimpy</t>
  </si>
  <si>
    <t>pnp(Sanridge)</t>
  </si>
  <si>
    <t>02/02/2020</t>
  </si>
  <si>
    <t>Milk Pileros</t>
  </si>
  <si>
    <t>Discovery Car Insurance</t>
  </si>
  <si>
    <t>Virgin Active</t>
  </si>
  <si>
    <t>Bidwest 1</t>
  </si>
  <si>
    <t>Wesbank Car</t>
  </si>
  <si>
    <t>BIDTRACK</t>
  </si>
  <si>
    <t>03/02/2020</t>
  </si>
  <si>
    <t>Bharat Spice</t>
  </si>
  <si>
    <t>Super Spar Vorna Valley</t>
  </si>
  <si>
    <t>04/02/2020</t>
  </si>
  <si>
    <t>Uber Virgin Active Waterfall</t>
  </si>
  <si>
    <t>KIDS School Fees Curro</t>
  </si>
  <si>
    <t>Yashvi Ballerina Class</t>
  </si>
  <si>
    <t>Yashvi Ballerina Shoes</t>
  </si>
  <si>
    <t>ANGELBERRY icecream</t>
  </si>
  <si>
    <t>05/02/2020</t>
  </si>
  <si>
    <t>Super Spar carlswald</t>
  </si>
  <si>
    <t>IRCTC convert to NRI Account</t>
  </si>
  <si>
    <t>06/02/2020</t>
  </si>
  <si>
    <t>Fridge magnet from Cape Town</t>
  </si>
  <si>
    <t>Candy Sweet from Cape Town</t>
  </si>
  <si>
    <t>Yashvi Swimming</t>
  </si>
  <si>
    <t>Cash Withdrawn</t>
  </si>
  <si>
    <t>08/02/2020</t>
  </si>
  <si>
    <t>Irene Farm Milk</t>
  </si>
  <si>
    <t>Irene Farm Sweet</t>
  </si>
  <si>
    <t>Super spar Cralswald</t>
  </si>
  <si>
    <t>09/02/2020</t>
  </si>
  <si>
    <t>Cash Convertor Sandredge</t>
  </si>
  <si>
    <t>Indogo Nursery</t>
  </si>
  <si>
    <t>Aandal</t>
  </si>
  <si>
    <t>PNP Sanridge</t>
  </si>
  <si>
    <t>10/02/2020</t>
  </si>
  <si>
    <t>11/02/2020</t>
  </si>
  <si>
    <t>Super Spar Carlswald</t>
  </si>
  <si>
    <t>12/02/2020</t>
  </si>
  <si>
    <t>14/02/2020</t>
  </si>
  <si>
    <t>SuperSpar Carlswald</t>
  </si>
  <si>
    <t>PnP Fam Sandridge Sqre</t>
  </si>
  <si>
    <t>15/02/2020</t>
  </si>
  <si>
    <t>DOSA</t>
  </si>
  <si>
    <t>3@1 CARLSWALD</t>
  </si>
  <si>
    <t>SheetStreet CARLSWALD</t>
  </si>
  <si>
    <t>WOOLWORTHS</t>
  </si>
  <si>
    <t>16/02/2020</t>
  </si>
  <si>
    <t>Cash Convertor China Town</t>
  </si>
  <si>
    <t>NWJ Mall Of Africa</t>
  </si>
  <si>
    <t>PNA Mall Of Africa</t>
  </si>
  <si>
    <t>The Mattress WareHouse</t>
  </si>
  <si>
    <t>17/02/2020</t>
  </si>
  <si>
    <t>18/02/2020</t>
  </si>
  <si>
    <t>Tajmahal Food</t>
  </si>
  <si>
    <t>19/02/2020</t>
  </si>
  <si>
    <t>Taste Of Panjab</t>
  </si>
  <si>
    <t>Gas</t>
  </si>
  <si>
    <t>20/02/2020</t>
  </si>
  <si>
    <t>22/02/2020</t>
  </si>
  <si>
    <t>23/02/2020</t>
  </si>
  <si>
    <t>MARCH</t>
  </si>
  <si>
    <t>Shaivi Yashvi Swimming</t>
  </si>
  <si>
    <t>InterNet</t>
  </si>
  <si>
    <t>Bidwest</t>
  </si>
  <si>
    <t>Bidtrack</t>
  </si>
  <si>
    <t>Yashvi Shaivi School Fees</t>
  </si>
  <si>
    <t>NedBank CC</t>
  </si>
  <si>
    <t>NetBanking</t>
  </si>
  <si>
    <t>24/02/2020</t>
  </si>
  <si>
    <t>26/02/2020</t>
  </si>
  <si>
    <t>X</t>
  </si>
  <si>
    <t>Netbank CC D Ring</t>
  </si>
  <si>
    <t>27/02/2020</t>
  </si>
  <si>
    <t>Sanridge</t>
  </si>
  <si>
    <t>Uber Shweta ID</t>
  </si>
  <si>
    <t>28/02/2020</t>
  </si>
  <si>
    <t>TOGAF</t>
  </si>
  <si>
    <t>Shweta Telkom Recharge</t>
  </si>
  <si>
    <t>Contract Mobile</t>
  </si>
  <si>
    <t>Vodacom Mobile Recharge</t>
  </si>
  <si>
    <t>29/02/2020</t>
  </si>
  <si>
    <t>TAJ MAHAL FOODS</t>
  </si>
  <si>
    <t>AANDAL FOODS.</t>
  </si>
  <si>
    <t>01/03/2020</t>
  </si>
  <si>
    <t>Pilaros Cheese</t>
  </si>
  <si>
    <t>The Spice Indian</t>
  </si>
  <si>
    <t>Makro </t>
  </si>
  <si>
    <t>02/03/2020</t>
  </si>
  <si>
    <t>Uber Virgin Active</t>
  </si>
  <si>
    <t>03/03/2020</t>
  </si>
  <si>
    <t>Mobile Charge</t>
  </si>
  <si>
    <t>BidIns Body</t>
  </si>
  <si>
    <t>Power Electricity</t>
  </si>
  <si>
    <t>04/03/2020</t>
  </si>
  <si>
    <t>CARLSWALD SUPERSPAR</t>
  </si>
  <si>
    <t>Dischem Carlswald</t>
  </si>
  <si>
    <t>School Fees</t>
  </si>
  <si>
    <t>05/03/2020</t>
  </si>
  <si>
    <t>AANDAL FOODS</t>
  </si>
  <si>
    <t>TAKEALOT</t>
  </si>
  <si>
    <t>06/03/2020</t>
  </si>
  <si>
    <t>TAJ MAHAL FOODS.</t>
  </si>
  <si>
    <t>07/03/2020</t>
  </si>
  <si>
    <t>CRAZY STORE</t>
  </si>
  <si>
    <t>08/03/2020</t>
  </si>
  <si>
    <t>Fruit and Veg</t>
  </si>
  <si>
    <t>09/03/2020</t>
  </si>
  <si>
    <t>10/03/2020</t>
  </si>
  <si>
    <t>Spar</t>
  </si>
  <si>
    <t>Apple Watch</t>
  </si>
  <si>
    <t>11/03/2020</t>
  </si>
  <si>
    <t>Van Der Vyver</t>
  </si>
  <si>
    <t>13/03/2020</t>
  </si>
  <si>
    <t>Sanral</t>
  </si>
  <si>
    <t>14/03/2020</t>
  </si>
  <si>
    <t>Spar Sandrisge</t>
  </si>
  <si>
    <t>15/03/2020</t>
  </si>
  <si>
    <t>16/03/2020</t>
  </si>
  <si>
    <t>19/03/2020</t>
  </si>
  <si>
    <t>RAMA</t>
  </si>
  <si>
    <t>Milk</t>
  </si>
  <si>
    <t>grocery fruits</t>
  </si>
  <si>
    <t>Cell C 5GB</t>
  </si>
  <si>
    <t>Curro Sambhavi</t>
  </si>
  <si>
    <t>Shambhavi Stationary</t>
  </si>
  <si>
    <t>Yashvi Stationary</t>
  </si>
  <si>
    <t>Dress School</t>
  </si>
  <si>
    <t>Pnet books</t>
  </si>
  <si>
    <t>grocery fruits+ Milk</t>
  </si>
  <si>
    <t>miscellaneous</t>
  </si>
  <si>
    <t>car servicing</t>
  </si>
  <si>
    <t>Garden</t>
  </si>
  <si>
    <t>Made</t>
  </si>
  <si>
    <t>EMI Bonnie Vie</t>
  </si>
  <si>
    <t>EMI The west End</t>
  </si>
  <si>
    <t>levyThe West End</t>
  </si>
  <si>
    <t>levy Bonnie Vie</t>
  </si>
  <si>
    <t>Rates BonieVie</t>
  </si>
  <si>
    <t>RatesThe west End</t>
  </si>
  <si>
    <t>OOBA Insurance</t>
  </si>
  <si>
    <t>Discovery Medical</t>
  </si>
  <si>
    <t>USD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</si>
</sst>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292B2C"/>
      <name val="Arial"/>
      <family val="2"/>
    </font>
    <font>
      <b/>
      <sz val="14"/>
      <color rgb="FF222222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i/>
      <sz val="11"/>
      <color theme="8" tint="0.7999816888943144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2" tint="-0.89999084444715716"/>
      <name val="Calibri"/>
      <family val="2"/>
      <scheme val="minor"/>
    </font>
    <font>
      <sz val="10"/>
      <color rgb="FFFFFF0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1"/>
      <color rgb="FF000000"/>
      <name val="Arial"/>
      <family val="2"/>
    </font>
    <font>
      <sz val="11"/>
      <color theme="0" tint="-4.9989318521683403E-2"/>
      <name val="Calibri"/>
      <family val="2"/>
      <scheme val="minor"/>
    </font>
    <font>
      <sz val="11"/>
      <color theme="0" tint="-4.9989318521683403E-2"/>
      <name val="Arial"/>
      <family val="2"/>
    </font>
    <font>
      <sz val="11"/>
      <color theme="2" tint="-0.89999084444715716"/>
      <name val="Arial"/>
      <family val="2"/>
    </font>
    <font>
      <sz val="11"/>
      <color theme="0"/>
      <name val="Calibri Light"/>
      <family val="2"/>
      <scheme val="maj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8BE45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98">
    <xf numFmtId="0" fontId="0" fillId="0" borderId="0" xfId="0"/>
    <xf numFmtId="0" fontId="0" fillId="0" borderId="0" xfId="0" applyBorder="1"/>
    <xf numFmtId="0" fontId="0" fillId="0" borderId="0" xfId="0" applyFill="1" applyBorder="1"/>
    <xf numFmtId="4" fontId="0" fillId="0" borderId="0" xfId="0" applyNumberFormat="1"/>
    <xf numFmtId="4" fontId="3" fillId="0" borderId="0" xfId="0" applyNumberFormat="1" applyFont="1"/>
    <xf numFmtId="0" fontId="3" fillId="0" borderId="0" xfId="0" applyFont="1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4" fillId="0" borderId="0" xfId="0" applyFont="1"/>
    <xf numFmtId="0" fontId="5" fillId="2" borderId="0" xfId="0" applyFont="1" applyFill="1"/>
    <xf numFmtId="0" fontId="4" fillId="0" borderId="0" xfId="0" applyFont="1" applyBorder="1"/>
    <xf numFmtId="0" fontId="4" fillId="0" borderId="0" xfId="0" applyFont="1" applyFill="1" applyBorder="1"/>
    <xf numFmtId="0" fontId="0" fillId="2" borderId="0" xfId="0" applyFill="1" applyBorder="1"/>
    <xf numFmtId="0" fontId="6" fillId="0" borderId="0" xfId="0" applyFont="1" applyAlignment="1">
      <alignment horizontal="center"/>
    </xf>
    <xf numFmtId="0" fontId="7" fillId="0" borderId="0" xfId="0" applyFont="1" applyBorder="1"/>
    <xf numFmtId="0" fontId="7" fillId="0" borderId="0" xfId="0" applyFont="1" applyFill="1" applyBorder="1"/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6" fontId="0" fillId="0" borderId="0" xfId="0" applyNumberFormat="1"/>
    <xf numFmtId="0" fontId="0" fillId="0" borderId="1" xfId="0" applyBorder="1"/>
    <xf numFmtId="0" fontId="0" fillId="3" borderId="1" xfId="0" applyFill="1" applyBorder="1"/>
    <xf numFmtId="0" fontId="4" fillId="0" borderId="1" xfId="0" applyFont="1" applyBorder="1" applyAlignment="1">
      <alignment horizontal="left"/>
    </xf>
    <xf numFmtId="0" fontId="7" fillId="2" borderId="0" xfId="0" applyFont="1" applyFill="1" applyBorder="1"/>
    <xf numFmtId="0" fontId="9" fillId="0" borderId="0" xfId="0" applyFont="1"/>
    <xf numFmtId="0" fontId="13" fillId="0" borderId="2" xfId="0" applyFont="1" applyBorder="1"/>
    <xf numFmtId="0" fontId="0" fillId="0" borderId="2" xfId="0" applyBorder="1"/>
    <xf numFmtId="0" fontId="12" fillId="4" borderId="2" xfId="0" applyFont="1" applyFill="1" applyBorder="1"/>
    <xf numFmtId="0" fontId="10" fillId="4" borderId="2" xfId="0" applyFont="1" applyFill="1" applyBorder="1"/>
    <xf numFmtId="0" fontId="11" fillId="4" borderId="2" xfId="0" applyFont="1" applyFill="1" applyBorder="1"/>
    <xf numFmtId="0" fontId="11" fillId="4" borderId="3" xfId="0" applyFont="1" applyFill="1" applyBorder="1"/>
    <xf numFmtId="0" fontId="13" fillId="0" borderId="0" xfId="0" applyFont="1" applyFill="1" applyBorder="1"/>
    <xf numFmtId="0" fontId="13" fillId="0" borderId="4" xfId="0" applyFont="1" applyFill="1" applyBorder="1"/>
    <xf numFmtId="14" fontId="0" fillId="0" borderId="0" xfId="0" applyNumberFormat="1"/>
    <xf numFmtId="0" fontId="5" fillId="4" borderId="3" xfId="0" applyFont="1" applyFill="1" applyBorder="1"/>
    <xf numFmtId="0" fontId="5" fillId="4" borderId="2" xfId="0" applyFont="1" applyFill="1" applyBorder="1"/>
    <xf numFmtId="0" fontId="15" fillId="0" borderId="1" xfId="0" applyFont="1" applyBorder="1" applyAlignment="1">
      <alignment horizontal="left"/>
    </xf>
    <xf numFmtId="1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49" fontId="15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right"/>
    </xf>
    <xf numFmtId="49" fontId="16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left"/>
    </xf>
    <xf numFmtId="49" fontId="18" fillId="0" borderId="1" xfId="0" applyNumberFormat="1" applyFont="1" applyBorder="1" applyAlignment="1">
      <alignment horizontal="right"/>
    </xf>
    <xf numFmtId="0" fontId="19" fillId="0" borderId="1" xfId="1" applyFont="1" applyBorder="1" applyAlignment="1">
      <alignment horizontal="right"/>
    </xf>
    <xf numFmtId="0" fontId="16" fillId="0" borderId="1" xfId="0" applyFont="1" applyFill="1" applyBorder="1" applyAlignment="1">
      <alignment horizontal="left"/>
    </xf>
    <xf numFmtId="0" fontId="5" fillId="5" borderId="2" xfId="0" applyFont="1" applyFill="1" applyBorder="1"/>
    <xf numFmtId="0" fontId="10" fillId="5" borderId="2" xfId="0" applyFont="1" applyFill="1" applyBorder="1"/>
    <xf numFmtId="0" fontId="20" fillId="6" borderId="2" xfId="0" applyFont="1" applyFill="1" applyBorder="1"/>
    <xf numFmtId="0" fontId="13" fillId="0" borderId="1" xfId="0" applyFont="1" applyBorder="1"/>
    <xf numFmtId="0" fontId="12" fillId="4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10" fillId="5" borderId="1" xfId="0" applyFont="1" applyFill="1" applyBorder="1"/>
    <xf numFmtId="0" fontId="20" fillId="6" borderId="1" xfId="0" applyFont="1" applyFill="1" applyBorder="1"/>
    <xf numFmtId="0" fontId="4" fillId="2" borderId="0" xfId="0" applyFont="1" applyFill="1"/>
    <xf numFmtId="0" fontId="20" fillId="6" borderId="0" xfId="0" applyFont="1" applyFill="1" applyBorder="1"/>
    <xf numFmtId="0" fontId="13" fillId="0" borderId="5" xfId="0" applyFont="1" applyFill="1" applyBorder="1"/>
    <xf numFmtId="0" fontId="21" fillId="7" borderId="1" xfId="0" applyFont="1" applyFill="1" applyBorder="1"/>
    <xf numFmtId="0" fontId="22" fillId="7" borderId="1" xfId="0" applyFont="1" applyFill="1" applyBorder="1"/>
    <xf numFmtId="0" fontId="6" fillId="0" borderId="1" xfId="0" applyFont="1" applyBorder="1"/>
    <xf numFmtId="0" fontId="23" fillId="7" borderId="1" xfId="0" applyFont="1" applyFill="1" applyBorder="1"/>
    <xf numFmtId="0" fontId="24" fillId="0" borderId="0" xfId="0" applyFont="1"/>
    <xf numFmtId="0" fontId="25" fillId="5" borderId="1" xfId="0" applyFont="1" applyFill="1" applyBorder="1"/>
    <xf numFmtId="0" fontId="26" fillId="5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4" fillId="2" borderId="1" xfId="0" applyFont="1" applyFill="1" applyBorder="1"/>
    <xf numFmtId="0" fontId="27" fillId="2" borderId="0" xfId="0" applyFont="1" applyFill="1"/>
    <xf numFmtId="0" fontId="28" fillId="2" borderId="0" xfId="0" applyFont="1" applyFill="1"/>
    <xf numFmtId="0" fontId="4" fillId="2" borderId="5" xfId="0" applyFont="1" applyFill="1" applyBorder="1"/>
    <xf numFmtId="0" fontId="27" fillId="2" borderId="5" xfId="0" applyFont="1" applyFill="1" applyBorder="1"/>
    <xf numFmtId="0" fontId="28" fillId="2" borderId="5" xfId="0" applyFont="1" applyFill="1" applyBorder="1"/>
    <xf numFmtId="0" fontId="29" fillId="7" borderId="1" xfId="0" applyFont="1" applyFill="1" applyBorder="1"/>
    <xf numFmtId="0" fontId="30" fillId="7" borderId="1" xfId="0" applyFont="1" applyFill="1" applyBorder="1"/>
    <xf numFmtId="0" fontId="31" fillId="7" borderId="1" xfId="0" applyFont="1" applyFill="1" applyBorder="1"/>
    <xf numFmtId="0" fontId="29" fillId="8" borderId="1" xfId="0" applyFont="1" applyFill="1" applyBorder="1"/>
    <xf numFmtId="0" fontId="30" fillId="8" borderId="1" xfId="0" applyFont="1" applyFill="1" applyBorder="1"/>
    <xf numFmtId="0" fontId="31" fillId="8" borderId="1" xfId="0" applyFont="1" applyFill="1" applyBorder="1"/>
    <xf numFmtId="0" fontId="32" fillId="9" borderId="1" xfId="0" applyFont="1" applyFill="1" applyBorder="1"/>
    <xf numFmtId="0" fontId="34" fillId="9" borderId="1" xfId="0" applyFont="1" applyFill="1" applyBorder="1"/>
    <xf numFmtId="0" fontId="33" fillId="9" borderId="1" xfId="0" applyFont="1" applyFill="1" applyBorder="1"/>
    <xf numFmtId="0" fontId="33" fillId="9" borderId="0" xfId="0" applyFont="1" applyFill="1"/>
    <xf numFmtId="0" fontId="1" fillId="10" borderId="1" xfId="0" applyFont="1" applyFill="1" applyBorder="1"/>
    <xf numFmtId="0" fontId="24" fillId="10" borderId="1" xfId="0" applyFont="1" applyFill="1" applyBorder="1"/>
    <xf numFmtId="0" fontId="0" fillId="10" borderId="1" xfId="0" applyFont="1" applyFill="1" applyBorder="1"/>
    <xf numFmtId="0" fontId="4" fillId="10" borderId="1" xfId="0" applyFont="1" applyFill="1" applyBorder="1"/>
    <xf numFmtId="0" fontId="1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5" fillId="5" borderId="1" xfId="0" applyFont="1" applyFill="1" applyBorder="1" applyAlignment="1">
      <alignment horizontal="left" vertical="top"/>
    </xf>
    <xf numFmtId="0" fontId="26" fillId="5" borderId="1" xfId="0" applyFont="1" applyFill="1" applyBorder="1" applyAlignment="1">
      <alignment horizontal="left" vertical="top"/>
    </xf>
    <xf numFmtId="0" fontId="29" fillId="7" borderId="1" xfId="0" applyFont="1" applyFill="1" applyBorder="1" applyAlignment="1">
      <alignment horizontal="left" vertical="top"/>
    </xf>
    <xf numFmtId="0" fontId="30" fillId="7" borderId="1" xfId="0" applyFont="1" applyFill="1" applyBorder="1" applyAlignment="1">
      <alignment horizontal="left" vertical="top"/>
    </xf>
    <xf numFmtId="0" fontId="31" fillId="7" borderId="1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/>
    </xf>
    <xf numFmtId="0" fontId="24" fillId="10" borderId="1" xfId="0" applyFont="1" applyFill="1" applyBorder="1" applyAlignment="1">
      <alignment horizontal="left" vertical="top"/>
    </xf>
    <xf numFmtId="0" fontId="0" fillId="10" borderId="1" xfId="0" applyFont="1" applyFill="1" applyBorder="1" applyAlignment="1">
      <alignment horizontal="left" vertical="top"/>
    </xf>
    <xf numFmtId="0" fontId="4" fillId="10" borderId="1" xfId="0" applyFont="1" applyFill="1" applyBorder="1" applyAlignment="1">
      <alignment horizontal="left" vertical="top"/>
    </xf>
    <xf numFmtId="0" fontId="27" fillId="2" borderId="1" xfId="0" applyFont="1" applyFill="1" applyBorder="1" applyAlignment="1">
      <alignment horizontal="left" vertical="top"/>
    </xf>
    <xf numFmtId="0" fontId="28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35" fillId="0" borderId="0" xfId="0" applyFont="1" applyAlignment="1">
      <alignment horizontal="left" vertical="top"/>
    </xf>
    <xf numFmtId="0" fontId="35" fillId="0" borderId="1" xfId="0" applyFont="1" applyBorder="1" applyAlignment="1">
      <alignment horizontal="left" vertical="top"/>
    </xf>
    <xf numFmtId="0" fontId="35" fillId="2" borderId="1" xfId="0" applyFont="1" applyFill="1" applyBorder="1" applyAlignment="1">
      <alignment horizontal="left" vertical="top"/>
    </xf>
    <xf numFmtId="0" fontId="35" fillId="11" borderId="1" xfId="0" applyFont="1" applyFill="1" applyBorder="1" applyAlignment="1">
      <alignment horizontal="left" vertical="top"/>
    </xf>
    <xf numFmtId="0" fontId="35" fillId="12" borderId="1" xfId="0" applyFont="1" applyFill="1" applyBorder="1" applyAlignment="1">
      <alignment horizontal="left" vertical="top"/>
    </xf>
    <xf numFmtId="0" fontId="35" fillId="13" borderId="1" xfId="0" applyFont="1" applyFill="1" applyBorder="1" applyAlignment="1">
      <alignment horizontal="left" vertical="top"/>
    </xf>
    <xf numFmtId="0" fontId="35" fillId="14" borderId="1" xfId="0" applyFont="1" applyFill="1" applyBorder="1" applyAlignment="1">
      <alignment horizontal="left" vertical="top"/>
    </xf>
    <xf numFmtId="0" fontId="35" fillId="15" borderId="1" xfId="0" applyFont="1" applyFill="1" applyBorder="1" applyAlignment="1">
      <alignment horizontal="left" vertical="top"/>
    </xf>
    <xf numFmtId="0" fontId="36" fillId="9" borderId="1" xfId="0" applyFont="1" applyFill="1" applyBorder="1" applyAlignment="1">
      <alignment horizontal="left" vertical="top"/>
    </xf>
    <xf numFmtId="0" fontId="37" fillId="2" borderId="1" xfId="0" applyFont="1" applyFill="1" applyBorder="1" applyAlignment="1">
      <alignment horizontal="left" vertical="top"/>
    </xf>
    <xf numFmtId="0" fontId="38" fillId="2" borderId="1" xfId="0" applyFont="1" applyFill="1" applyBorder="1" applyAlignment="1">
      <alignment vertical="center" wrapText="1"/>
    </xf>
    <xf numFmtId="0" fontId="36" fillId="16" borderId="1" xfId="0" applyFont="1" applyFill="1" applyBorder="1" applyAlignment="1">
      <alignment horizontal="left" vertical="top"/>
    </xf>
    <xf numFmtId="0" fontId="36" fillId="17" borderId="1" xfId="0" applyFont="1" applyFill="1" applyBorder="1" applyAlignment="1">
      <alignment horizontal="left" vertical="top"/>
    </xf>
    <xf numFmtId="0" fontId="36" fillId="18" borderId="1" xfId="0" applyFont="1" applyFill="1" applyBorder="1" applyAlignment="1">
      <alignment horizontal="left" vertical="top"/>
    </xf>
    <xf numFmtId="0" fontId="36" fillId="19" borderId="1" xfId="0" applyFont="1" applyFill="1" applyBorder="1" applyAlignment="1">
      <alignment horizontal="left" vertical="top"/>
    </xf>
    <xf numFmtId="0" fontId="39" fillId="8" borderId="1" xfId="0" applyFont="1" applyFill="1" applyBorder="1" applyAlignment="1">
      <alignment horizontal="left" vertical="top"/>
    </xf>
    <xf numFmtId="0" fontId="37" fillId="20" borderId="1" xfId="0" applyFont="1" applyFill="1" applyBorder="1" applyAlignment="1">
      <alignment horizontal="left" vertical="top"/>
    </xf>
    <xf numFmtId="0" fontId="38" fillId="20" borderId="1" xfId="0" applyFont="1" applyFill="1" applyBorder="1"/>
    <xf numFmtId="0" fontId="36" fillId="21" borderId="1" xfId="0" applyFont="1" applyFill="1" applyBorder="1" applyAlignment="1">
      <alignment horizontal="left" vertical="top"/>
    </xf>
    <xf numFmtId="0" fontId="33" fillId="21" borderId="1" xfId="0" applyFont="1" applyFill="1" applyBorder="1" applyAlignment="1">
      <alignment horizontal="left" vertical="top"/>
    </xf>
    <xf numFmtId="0" fontId="40" fillId="5" borderId="1" xfId="0" applyFont="1" applyFill="1" applyBorder="1" applyAlignment="1">
      <alignment horizontal="left" vertical="top"/>
    </xf>
    <xf numFmtId="0" fontId="41" fillId="8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2" fillId="22" borderId="1" xfId="0" applyFont="1" applyFill="1" applyBorder="1" applyAlignment="1">
      <alignment horizontal="left" vertical="top"/>
    </xf>
    <xf numFmtId="0" fontId="43" fillId="23" borderId="1" xfId="0" applyFont="1" applyFill="1" applyBorder="1" applyAlignment="1">
      <alignment horizontal="left" vertical="top"/>
    </xf>
    <xf numFmtId="0" fontId="44" fillId="23" borderId="1" xfId="0" applyFont="1" applyFill="1" applyBorder="1" applyAlignment="1">
      <alignment horizontal="left" vertical="top"/>
    </xf>
    <xf numFmtId="0" fontId="7" fillId="23" borderId="1" xfId="0" applyFont="1" applyFill="1" applyBorder="1" applyAlignment="1">
      <alignment horizontal="left" vertical="top"/>
    </xf>
    <xf numFmtId="0" fontId="43" fillId="23" borderId="5" xfId="0" applyFont="1" applyFill="1" applyBorder="1" applyAlignment="1">
      <alignment horizontal="left" vertical="top"/>
    </xf>
    <xf numFmtId="0" fontId="44" fillId="23" borderId="5" xfId="0" applyFont="1" applyFill="1" applyBorder="1" applyAlignment="1">
      <alignment horizontal="left" vertical="top"/>
    </xf>
    <xf numFmtId="0" fontId="7" fillId="23" borderId="5" xfId="0" applyFont="1" applyFill="1" applyBorder="1" applyAlignment="1">
      <alignment horizontal="left" vertical="top"/>
    </xf>
    <xf numFmtId="0" fontId="45" fillId="2" borderId="1" xfId="0" applyFont="1" applyFill="1" applyBorder="1"/>
    <xf numFmtId="0" fontId="45" fillId="2" borderId="1" xfId="0" applyFont="1" applyFill="1" applyBorder="1" applyAlignment="1">
      <alignment horizontal="right"/>
    </xf>
    <xf numFmtId="0" fontId="33" fillId="19" borderId="1" xfId="0" applyFont="1" applyFill="1" applyBorder="1"/>
    <xf numFmtId="0" fontId="33" fillId="19" borderId="1" xfId="0" applyFont="1" applyFill="1" applyBorder="1" applyAlignment="1">
      <alignment horizontal="right"/>
    </xf>
    <xf numFmtId="0" fontId="46" fillId="15" borderId="1" xfId="0" applyFont="1" applyFill="1" applyBorder="1"/>
    <xf numFmtId="0" fontId="46" fillId="15" borderId="1" xfId="0" applyFont="1" applyFill="1" applyBorder="1" applyAlignment="1">
      <alignment horizontal="right"/>
    </xf>
    <xf numFmtId="0" fontId="7" fillId="16" borderId="1" xfId="0" applyFont="1" applyFill="1" applyBorder="1"/>
    <xf numFmtId="0" fontId="7" fillId="16" borderId="1" xfId="0" applyFont="1" applyFill="1" applyBorder="1" applyAlignment="1">
      <alignment horizontal="left" vertical="top"/>
    </xf>
    <xf numFmtId="0" fontId="7" fillId="16" borderId="1" xfId="0" applyFont="1" applyFill="1" applyBorder="1" applyAlignment="1">
      <alignment horizontal="right"/>
    </xf>
    <xf numFmtId="0" fontId="7" fillId="2" borderId="1" xfId="0" applyFont="1" applyFill="1" applyBorder="1"/>
    <xf numFmtId="0" fontId="7" fillId="12" borderId="1" xfId="0" applyFont="1" applyFill="1" applyBorder="1" applyAlignment="1">
      <alignment horizontal="left" vertical="top"/>
    </xf>
    <xf numFmtId="0" fontId="7" fillId="12" borderId="1" xfId="0" applyFont="1" applyFill="1" applyBorder="1"/>
    <xf numFmtId="0" fontId="7" fillId="12" borderId="1" xfId="0" applyFont="1" applyFill="1" applyBorder="1" applyAlignment="1">
      <alignment horizontal="right"/>
    </xf>
    <xf numFmtId="0" fontId="33" fillId="18" borderId="1" xfId="0" applyFont="1" applyFill="1" applyBorder="1"/>
    <xf numFmtId="0" fontId="33" fillId="31" borderId="1" xfId="0" applyFont="1" applyFill="1" applyBorder="1"/>
    <xf numFmtId="0" fontId="0" fillId="24" borderId="1" xfId="0" applyFont="1" applyFill="1" applyBorder="1" applyAlignment="1">
      <alignment horizontal="left" vertical="top"/>
    </xf>
    <xf numFmtId="0" fontId="0" fillId="24" borderId="1" xfId="0" applyFont="1" applyFill="1" applyBorder="1"/>
    <xf numFmtId="0" fontId="0" fillId="24" borderId="1" xfId="0" applyFont="1" applyFill="1" applyBorder="1" applyAlignment="1">
      <alignment horizontal="right"/>
    </xf>
    <xf numFmtId="0" fontId="47" fillId="24" borderId="1" xfId="0" applyFont="1" applyFill="1" applyBorder="1"/>
    <xf numFmtId="0" fontId="33" fillId="19" borderId="1" xfId="0" applyFont="1" applyFill="1" applyBorder="1" applyAlignment="1">
      <alignment horizontal="left" vertical="top"/>
    </xf>
    <xf numFmtId="0" fontId="45" fillId="2" borderId="1" xfId="0" applyFont="1" applyFill="1" applyBorder="1" applyAlignment="1">
      <alignment horizontal="left" vertical="top"/>
    </xf>
    <xf numFmtId="0" fontId="48" fillId="25" borderId="1" xfId="0" applyFont="1" applyFill="1" applyBorder="1" applyAlignment="1">
      <alignment horizontal="left" vertical="top"/>
    </xf>
    <xf numFmtId="0" fontId="49" fillId="25" borderId="1" xfId="0" applyFont="1" applyFill="1" applyBorder="1"/>
    <xf numFmtId="0" fontId="48" fillId="25" borderId="1" xfId="0" applyFont="1" applyFill="1" applyBorder="1" applyAlignment="1">
      <alignment horizontal="right"/>
    </xf>
    <xf numFmtId="0" fontId="48" fillId="25" borderId="1" xfId="0" applyFont="1" applyFill="1" applyBorder="1"/>
    <xf numFmtId="0" fontId="46" fillId="15" borderId="1" xfId="0" applyFont="1" applyFill="1" applyBorder="1" applyAlignment="1">
      <alignment horizontal="left" vertical="top"/>
    </xf>
    <xf numFmtId="0" fontId="50" fillId="15" borderId="1" xfId="0" applyFont="1" applyFill="1" applyBorder="1"/>
    <xf numFmtId="0" fontId="51" fillId="26" borderId="1" xfId="0" applyFont="1" applyFill="1" applyBorder="1" applyAlignment="1">
      <alignment horizontal="left" vertical="top"/>
    </xf>
    <xf numFmtId="0" fontId="51" fillId="26" borderId="1" xfId="0" applyFont="1" applyFill="1" applyBorder="1"/>
    <xf numFmtId="0" fontId="51" fillId="26" borderId="1" xfId="0" applyFont="1" applyFill="1" applyBorder="1" applyAlignment="1">
      <alignment horizontal="right"/>
    </xf>
    <xf numFmtId="0" fontId="0" fillId="0" borderId="1" xfId="0" applyFont="1" applyBorder="1"/>
    <xf numFmtId="0" fontId="31" fillId="27" borderId="1" xfId="0" applyFont="1" applyFill="1" applyBorder="1" applyAlignment="1">
      <alignment horizontal="left" vertical="top"/>
    </xf>
    <xf numFmtId="0" fontId="31" fillId="27" borderId="1" xfId="0" applyFont="1" applyFill="1" applyBorder="1"/>
    <xf numFmtId="0" fontId="31" fillId="27" borderId="1" xfId="0" applyFont="1" applyFill="1" applyBorder="1" applyAlignment="1">
      <alignment horizontal="right"/>
    </xf>
    <xf numFmtId="0" fontId="33" fillId="15" borderId="1" xfId="0" applyFont="1" applyFill="1" applyBorder="1" applyAlignment="1">
      <alignment horizontal="left" vertical="top"/>
    </xf>
    <xf numFmtId="0" fontId="33" fillId="15" borderId="1" xfId="0" applyFont="1" applyFill="1" applyBorder="1"/>
    <xf numFmtId="0" fontId="33" fillId="15" borderId="1" xfId="0" applyFont="1" applyFill="1" applyBorder="1" applyAlignment="1">
      <alignment horizontal="right"/>
    </xf>
    <xf numFmtId="0" fontId="33" fillId="28" borderId="1" xfId="0" applyFont="1" applyFill="1" applyBorder="1" applyAlignment="1">
      <alignment horizontal="left" vertical="top"/>
    </xf>
    <xf numFmtId="0" fontId="33" fillId="28" borderId="1" xfId="0" applyFont="1" applyFill="1" applyBorder="1"/>
    <xf numFmtId="0" fontId="33" fillId="28" borderId="1" xfId="0" applyFont="1" applyFill="1" applyBorder="1" applyAlignment="1">
      <alignment horizontal="right"/>
    </xf>
    <xf numFmtId="0" fontId="33" fillId="29" borderId="1" xfId="0" applyFont="1" applyFill="1" applyBorder="1" applyAlignment="1">
      <alignment horizontal="left" vertical="top"/>
    </xf>
    <xf numFmtId="0" fontId="33" fillId="29" borderId="1" xfId="0" applyFont="1" applyFill="1" applyBorder="1"/>
    <xf numFmtId="0" fontId="33" fillId="29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3" fillId="18" borderId="1" xfId="0" applyFont="1" applyFill="1" applyBorder="1" applyAlignment="1">
      <alignment horizontal="left" vertical="top"/>
    </xf>
    <xf numFmtId="0" fontId="33" fillId="18" borderId="1" xfId="0" applyFont="1" applyFill="1" applyBorder="1" applyAlignment="1">
      <alignment horizontal="right"/>
    </xf>
    <xf numFmtId="0" fontId="7" fillId="30" borderId="1" xfId="0" applyFont="1" applyFill="1" applyBorder="1" applyAlignment="1">
      <alignment horizontal="left" vertical="top"/>
    </xf>
    <xf numFmtId="0" fontId="7" fillId="30" borderId="1" xfId="0" applyFont="1" applyFill="1" applyBorder="1"/>
    <xf numFmtId="0" fontId="7" fillId="30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right"/>
    </xf>
    <xf numFmtId="0" fontId="33" fillId="31" borderId="1" xfId="0" applyFont="1" applyFill="1" applyBorder="1" applyAlignment="1">
      <alignment horizontal="left" vertical="top"/>
    </xf>
    <xf numFmtId="0" fontId="33" fillId="31" borderId="1" xfId="0" applyFont="1" applyFill="1" applyBorder="1" applyAlignment="1">
      <alignment horizontal="right"/>
    </xf>
    <xf numFmtId="0" fontId="43" fillId="2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BE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WEP@55083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AL34"/>
  <sheetViews>
    <sheetView topLeftCell="AC14" workbookViewId="0">
      <selection activeCell="AJ31" sqref="AJ18:AJ31"/>
    </sheetView>
  </sheetViews>
  <sheetFormatPr defaultRowHeight="14.4" x14ac:dyDescent="0.3"/>
  <cols>
    <col min="3" max="3" width="15.33203125" bestFit="1" customWidth="1"/>
    <col min="8" max="8" width="15.33203125" bestFit="1" customWidth="1"/>
    <col min="19" max="19" width="17" bestFit="1" customWidth="1"/>
    <col min="22" max="22" width="17" bestFit="1" customWidth="1"/>
    <col min="25" max="25" width="17" bestFit="1" customWidth="1"/>
    <col min="28" max="28" width="34" customWidth="1"/>
    <col min="30" max="30" width="6" bestFit="1" customWidth="1"/>
    <col min="31" max="31" width="18" bestFit="1" customWidth="1"/>
    <col min="34" max="34" width="17" bestFit="1" customWidth="1"/>
    <col min="37" max="37" width="19.33203125" bestFit="1" customWidth="1"/>
  </cols>
  <sheetData>
    <row r="8" spans="2:38" x14ac:dyDescent="0.3">
      <c r="B8" s="1">
        <v>6500</v>
      </c>
      <c r="C8" s="1" t="s">
        <v>0</v>
      </c>
      <c r="G8">
        <v>12000</v>
      </c>
      <c r="H8" t="s">
        <v>17</v>
      </c>
    </row>
    <row r="9" spans="2:38" x14ac:dyDescent="0.3">
      <c r="B9" s="1">
        <v>300</v>
      </c>
      <c r="C9" s="1" t="s">
        <v>1</v>
      </c>
      <c r="G9">
        <v>5000</v>
      </c>
      <c r="H9" t="s">
        <v>18</v>
      </c>
      <c r="N9" s="1"/>
      <c r="O9" s="1"/>
    </row>
    <row r="10" spans="2:38" x14ac:dyDescent="0.3">
      <c r="B10" s="1">
        <v>5000</v>
      </c>
      <c r="C10" s="1" t="s">
        <v>2</v>
      </c>
      <c r="G10">
        <v>3000</v>
      </c>
      <c r="H10" t="s">
        <v>3</v>
      </c>
      <c r="N10" s="1">
        <v>4000</v>
      </c>
      <c r="O10" s="1" t="s">
        <v>13</v>
      </c>
    </row>
    <row r="11" spans="2:38" x14ac:dyDescent="0.3">
      <c r="B11" s="1">
        <v>3000</v>
      </c>
      <c r="C11" s="1" t="s">
        <v>3</v>
      </c>
      <c r="G11">
        <v>5000</v>
      </c>
      <c r="H11" t="s">
        <v>2</v>
      </c>
      <c r="N11" s="1">
        <v>4000</v>
      </c>
      <c r="O11" s="1" t="s">
        <v>2</v>
      </c>
    </row>
    <row r="12" spans="2:38" x14ac:dyDescent="0.3">
      <c r="B12" s="1">
        <v>5000</v>
      </c>
      <c r="C12" s="1" t="s">
        <v>4</v>
      </c>
      <c r="G12">
        <v>2000</v>
      </c>
      <c r="H12" t="s">
        <v>5</v>
      </c>
      <c r="N12" s="1">
        <v>3000</v>
      </c>
      <c r="O12" s="1" t="s">
        <v>3</v>
      </c>
    </row>
    <row r="13" spans="2:38" x14ac:dyDescent="0.3">
      <c r="B13" s="1">
        <v>2000</v>
      </c>
      <c r="C13" s="1" t="s">
        <v>5</v>
      </c>
      <c r="G13">
        <v>1000</v>
      </c>
      <c r="H13" t="s">
        <v>6</v>
      </c>
      <c r="N13" s="1">
        <v>5000</v>
      </c>
      <c r="O13" s="1" t="s">
        <v>4</v>
      </c>
    </row>
    <row r="14" spans="2:38" x14ac:dyDescent="0.3">
      <c r="B14" s="1">
        <v>1200</v>
      </c>
      <c r="C14" s="1" t="s">
        <v>6</v>
      </c>
      <c r="G14">
        <v>1200</v>
      </c>
      <c r="H14" t="s">
        <v>7</v>
      </c>
      <c r="N14" s="1">
        <v>1300</v>
      </c>
      <c r="O14" s="1" t="s">
        <v>5</v>
      </c>
    </row>
    <row r="15" spans="2:38" x14ac:dyDescent="0.3">
      <c r="B15" s="1">
        <v>1100</v>
      </c>
      <c r="C15" s="1" t="s">
        <v>7</v>
      </c>
      <c r="G15">
        <v>100</v>
      </c>
      <c r="H15" t="s">
        <v>8</v>
      </c>
      <c r="N15" s="1">
        <v>1200</v>
      </c>
      <c r="O15" s="1" t="s">
        <v>6</v>
      </c>
    </row>
    <row r="16" spans="2:38" x14ac:dyDescent="0.3">
      <c r="B16" s="1">
        <v>100</v>
      </c>
      <c r="C16" s="1" t="s">
        <v>8</v>
      </c>
      <c r="G16">
        <v>100</v>
      </c>
      <c r="H16" t="s">
        <v>19</v>
      </c>
      <c r="N16" s="1">
        <v>100</v>
      </c>
      <c r="O16" s="1" t="s">
        <v>9</v>
      </c>
      <c r="R16" s="7" t="s">
        <v>27</v>
      </c>
      <c r="S16" s="7" t="s">
        <v>28</v>
      </c>
      <c r="U16" s="7" t="s">
        <v>31</v>
      </c>
      <c r="V16" s="7" t="s">
        <v>28</v>
      </c>
      <c r="X16" s="7" t="s">
        <v>106</v>
      </c>
      <c r="Y16" s="7" t="s">
        <v>28</v>
      </c>
      <c r="AA16" s="7" t="s">
        <v>108</v>
      </c>
      <c r="AB16" s="7" t="s">
        <v>28</v>
      </c>
      <c r="AD16" s="7" t="s">
        <v>180</v>
      </c>
      <c r="AE16" s="7" t="s">
        <v>28</v>
      </c>
      <c r="AG16" s="7" t="s">
        <v>188</v>
      </c>
      <c r="AH16" s="7" t="s">
        <v>28</v>
      </c>
      <c r="AJ16" s="29" t="s">
        <v>204</v>
      </c>
      <c r="AK16" s="29" t="s">
        <v>28</v>
      </c>
      <c r="AL16" s="29" t="s">
        <v>196</v>
      </c>
    </row>
    <row r="17" spans="2:38" x14ac:dyDescent="0.3">
      <c r="B17" s="1">
        <v>100</v>
      </c>
      <c r="C17" s="1" t="s">
        <v>9</v>
      </c>
      <c r="G17">
        <v>1000</v>
      </c>
      <c r="H17" t="s">
        <v>21</v>
      </c>
      <c r="N17" s="1">
        <v>700</v>
      </c>
      <c r="O17" s="1" t="s">
        <v>10</v>
      </c>
      <c r="R17" s="13">
        <v>6500</v>
      </c>
      <c r="S17" s="1" t="s">
        <v>0</v>
      </c>
      <c r="U17" s="1">
        <v>7100</v>
      </c>
      <c r="V17" s="1" t="s">
        <v>0</v>
      </c>
      <c r="X17" s="1">
        <v>7100</v>
      </c>
      <c r="Y17" s="1" t="s">
        <v>0</v>
      </c>
      <c r="AA17" s="11">
        <v>7100</v>
      </c>
      <c r="AB17" s="11" t="s">
        <v>109</v>
      </c>
      <c r="AD17" s="27">
        <v>7100</v>
      </c>
      <c r="AE17" s="15" t="s">
        <v>109</v>
      </c>
      <c r="AG17" s="1"/>
      <c r="AH17" s="1"/>
      <c r="AJ17" s="30"/>
      <c r="AK17" s="30"/>
      <c r="AL17" s="30"/>
    </row>
    <row r="18" spans="2:38" x14ac:dyDescent="0.3">
      <c r="B18" s="1">
        <v>700</v>
      </c>
      <c r="C18" s="1" t="s">
        <v>10</v>
      </c>
      <c r="G18">
        <v>5000</v>
      </c>
      <c r="H18" t="s">
        <v>13</v>
      </c>
      <c r="N18" s="1">
        <v>700</v>
      </c>
      <c r="O18" s="1" t="s">
        <v>11</v>
      </c>
      <c r="R18" s="12">
        <v>300</v>
      </c>
      <c r="S18" s="1" t="s">
        <v>1</v>
      </c>
      <c r="U18" s="1">
        <v>600</v>
      </c>
      <c r="V18" s="1" t="s">
        <v>1</v>
      </c>
      <c r="X18" s="1">
        <v>600</v>
      </c>
      <c r="Y18" s="1" t="s">
        <v>1</v>
      </c>
      <c r="AA18" s="11">
        <v>700</v>
      </c>
      <c r="AB18" s="11" t="s">
        <v>110</v>
      </c>
      <c r="AD18" s="27">
        <v>800</v>
      </c>
      <c r="AE18" s="15" t="s">
        <v>110</v>
      </c>
      <c r="AG18" s="1">
        <v>300</v>
      </c>
      <c r="AH18" s="1" t="s">
        <v>1</v>
      </c>
      <c r="AJ18" s="31">
        <v>500</v>
      </c>
      <c r="AK18" s="31" t="s">
        <v>205</v>
      </c>
      <c r="AL18" s="31" t="s">
        <v>199</v>
      </c>
    </row>
    <row r="19" spans="2:38" x14ac:dyDescent="0.3">
      <c r="B19" s="1">
        <v>700</v>
      </c>
      <c r="C19" s="1" t="s">
        <v>11</v>
      </c>
      <c r="G19">
        <v>1000</v>
      </c>
      <c r="H19" t="s">
        <v>20</v>
      </c>
      <c r="N19" s="1">
        <v>1000</v>
      </c>
      <c r="O19" s="1" t="s">
        <v>14</v>
      </c>
      <c r="R19" s="11">
        <v>5000</v>
      </c>
      <c r="S19" s="1" t="s">
        <v>2</v>
      </c>
      <c r="U19" s="1">
        <v>5000</v>
      </c>
      <c r="V19" s="1" t="s">
        <v>2</v>
      </c>
      <c r="X19" s="11">
        <v>5000</v>
      </c>
      <c r="Y19" s="11" t="s">
        <v>2</v>
      </c>
      <c r="AA19" s="15">
        <v>5000</v>
      </c>
      <c r="AB19" s="15" t="s">
        <v>2</v>
      </c>
      <c r="AD19" s="15">
        <v>5000</v>
      </c>
      <c r="AE19" s="15" t="s">
        <v>2</v>
      </c>
      <c r="AG19" s="1">
        <v>5000</v>
      </c>
      <c r="AH19" s="1" t="s">
        <v>2</v>
      </c>
      <c r="AJ19" s="31">
        <v>650</v>
      </c>
      <c r="AK19" s="31" t="s">
        <v>7</v>
      </c>
      <c r="AL19" s="31" t="s">
        <v>199</v>
      </c>
    </row>
    <row r="20" spans="2:38" x14ac:dyDescent="0.3">
      <c r="B20" s="1">
        <v>20000</v>
      </c>
      <c r="C20" s="1" t="s">
        <v>12</v>
      </c>
      <c r="N20" s="1">
        <v>1000</v>
      </c>
      <c r="O20" s="1" t="s">
        <v>16</v>
      </c>
      <c r="R20" s="11">
        <v>7200</v>
      </c>
      <c r="S20" s="1" t="s">
        <v>29</v>
      </c>
      <c r="U20" s="1">
        <v>7500</v>
      </c>
      <c r="V20" s="1" t="s">
        <v>29</v>
      </c>
      <c r="X20" s="11">
        <v>7500</v>
      </c>
      <c r="Y20" s="11" t="s">
        <v>29</v>
      </c>
      <c r="AA20" s="15">
        <v>8000</v>
      </c>
      <c r="AB20" s="15" t="s">
        <v>29</v>
      </c>
      <c r="AD20" s="15">
        <v>8500</v>
      </c>
      <c r="AE20" s="15" t="s">
        <v>29</v>
      </c>
      <c r="AG20" s="1">
        <v>8300</v>
      </c>
      <c r="AH20" s="1" t="s">
        <v>29</v>
      </c>
      <c r="AJ20" s="31">
        <v>100</v>
      </c>
      <c r="AK20" s="31" t="s">
        <v>8</v>
      </c>
      <c r="AL20" s="31" t="s">
        <v>199</v>
      </c>
    </row>
    <row r="21" spans="2:38" x14ac:dyDescent="0.3">
      <c r="B21" s="1">
        <v>25000</v>
      </c>
      <c r="C21" s="1" t="s">
        <v>22</v>
      </c>
      <c r="N21" s="2">
        <v>1200</v>
      </c>
      <c r="O21" s="2" t="s">
        <v>26</v>
      </c>
      <c r="R21" s="13">
        <v>1000</v>
      </c>
      <c r="S21" s="1" t="s">
        <v>5</v>
      </c>
      <c r="U21" s="1">
        <v>1500</v>
      </c>
      <c r="V21" s="1" t="s">
        <v>5</v>
      </c>
      <c r="X21" s="1">
        <v>1500</v>
      </c>
      <c r="Y21" s="1" t="s">
        <v>5</v>
      </c>
      <c r="AA21" s="15">
        <v>2000</v>
      </c>
      <c r="AB21" s="15" t="s">
        <v>111</v>
      </c>
      <c r="AD21" s="27">
        <v>2000</v>
      </c>
      <c r="AE21" s="15" t="s">
        <v>111</v>
      </c>
      <c r="AG21" s="1">
        <v>1500</v>
      </c>
      <c r="AH21" s="1" t="s">
        <v>5</v>
      </c>
      <c r="AJ21" s="32">
        <v>5000</v>
      </c>
      <c r="AK21" s="32" t="s">
        <v>2</v>
      </c>
      <c r="AL21" s="32" t="s">
        <v>198</v>
      </c>
    </row>
    <row r="22" spans="2:38" x14ac:dyDescent="0.3">
      <c r="B22" s="1">
        <v>5000</v>
      </c>
      <c r="C22" s="1" t="s">
        <v>13</v>
      </c>
      <c r="R22" s="1">
        <v>0</v>
      </c>
      <c r="S22" s="1" t="s">
        <v>6</v>
      </c>
      <c r="U22" s="1">
        <v>800</v>
      </c>
      <c r="V22" s="1" t="s">
        <v>6</v>
      </c>
      <c r="X22" s="1">
        <v>800</v>
      </c>
      <c r="Y22" s="1" t="s">
        <v>6</v>
      </c>
      <c r="AA22" s="15">
        <v>1500</v>
      </c>
      <c r="AB22" s="15" t="s">
        <v>112</v>
      </c>
      <c r="AD22" s="27">
        <v>1800</v>
      </c>
      <c r="AE22" s="15" t="s">
        <v>112</v>
      </c>
      <c r="AG22" s="1">
        <v>50</v>
      </c>
      <c r="AH22" s="1" t="s">
        <v>6</v>
      </c>
      <c r="AJ22" s="32">
        <v>8300</v>
      </c>
      <c r="AK22" s="32" t="s">
        <v>29</v>
      </c>
      <c r="AL22" s="32" t="s">
        <v>198</v>
      </c>
    </row>
    <row r="23" spans="2:38" x14ac:dyDescent="0.3">
      <c r="B23" s="1">
        <v>1000</v>
      </c>
      <c r="C23" s="1" t="s">
        <v>14</v>
      </c>
      <c r="R23" s="11">
        <v>1600</v>
      </c>
      <c r="S23" s="1" t="s">
        <v>7</v>
      </c>
      <c r="U23" s="1">
        <v>1100</v>
      </c>
      <c r="V23" s="1" t="s">
        <v>7</v>
      </c>
      <c r="X23" s="1">
        <v>1100</v>
      </c>
      <c r="Y23" s="1" t="s">
        <v>7</v>
      </c>
      <c r="AA23" s="15">
        <v>1000</v>
      </c>
      <c r="AB23" s="15" t="s">
        <v>7</v>
      </c>
      <c r="AD23" s="15">
        <v>1000</v>
      </c>
      <c r="AE23" s="15" t="s">
        <v>7</v>
      </c>
      <c r="AG23" s="1">
        <v>200</v>
      </c>
      <c r="AH23" s="1" t="s">
        <v>7</v>
      </c>
      <c r="AJ23" s="32">
        <v>10600</v>
      </c>
      <c r="AK23" s="32" t="s">
        <v>17</v>
      </c>
      <c r="AL23" s="32" t="s">
        <v>198</v>
      </c>
    </row>
    <row r="24" spans="2:38" x14ac:dyDescent="0.3">
      <c r="B24" s="1">
        <v>1000</v>
      </c>
      <c r="C24" s="1" t="s">
        <v>15</v>
      </c>
      <c r="R24" s="11">
        <v>100</v>
      </c>
      <c r="S24" s="1" t="s">
        <v>8</v>
      </c>
      <c r="U24" s="1">
        <v>100</v>
      </c>
      <c r="V24" s="1" t="s">
        <v>8</v>
      </c>
      <c r="X24" s="1">
        <v>100</v>
      </c>
      <c r="Y24" s="1" t="s">
        <v>8</v>
      </c>
      <c r="AA24" s="15">
        <v>100</v>
      </c>
      <c r="AB24" s="15" t="s">
        <v>8</v>
      </c>
      <c r="AD24" s="15">
        <v>100</v>
      </c>
      <c r="AE24" s="15" t="s">
        <v>8</v>
      </c>
      <c r="AG24" s="1">
        <v>100</v>
      </c>
      <c r="AH24" s="1" t="s">
        <v>8</v>
      </c>
      <c r="AJ24" s="32">
        <v>650</v>
      </c>
      <c r="AK24" s="32" t="s">
        <v>71</v>
      </c>
      <c r="AL24" s="32" t="s">
        <v>198</v>
      </c>
    </row>
    <row r="25" spans="2:38" x14ac:dyDescent="0.3">
      <c r="B25" s="1">
        <v>1000</v>
      </c>
      <c r="C25" s="1" t="s">
        <v>16</v>
      </c>
      <c r="K25">
        <f>B11+B12+B10+B19+B27</f>
        <v>14300</v>
      </c>
      <c r="R25" s="11">
        <v>100</v>
      </c>
      <c r="S25" s="1" t="s">
        <v>9</v>
      </c>
      <c r="U25" s="1">
        <v>100</v>
      </c>
      <c r="V25" s="1" t="s">
        <v>9</v>
      </c>
      <c r="X25" s="1">
        <v>100</v>
      </c>
      <c r="Y25" s="1" t="s">
        <v>9</v>
      </c>
      <c r="AA25" s="15">
        <v>100</v>
      </c>
      <c r="AB25" s="15" t="s">
        <v>113</v>
      </c>
      <c r="AD25" s="27">
        <v>100</v>
      </c>
      <c r="AE25" s="15" t="s">
        <v>113</v>
      </c>
      <c r="AG25" s="1">
        <v>100</v>
      </c>
      <c r="AH25" s="1" t="s">
        <v>9</v>
      </c>
      <c r="AJ25" s="32">
        <v>300</v>
      </c>
      <c r="AK25" s="32" t="s">
        <v>193</v>
      </c>
      <c r="AL25" s="32" t="s">
        <v>198</v>
      </c>
    </row>
    <row r="26" spans="2:38" x14ac:dyDescent="0.3">
      <c r="B26" s="2">
        <v>1200</v>
      </c>
      <c r="C26" s="2" t="s">
        <v>23</v>
      </c>
      <c r="R26" s="11">
        <v>700</v>
      </c>
      <c r="S26" s="1" t="s">
        <v>11</v>
      </c>
      <c r="U26" s="1">
        <v>700</v>
      </c>
      <c r="V26" s="1" t="s">
        <v>11</v>
      </c>
      <c r="X26" s="11">
        <v>1000</v>
      </c>
      <c r="Y26" s="11" t="s">
        <v>71</v>
      </c>
      <c r="AA26" s="15">
        <v>1000</v>
      </c>
      <c r="AB26" s="15" t="s">
        <v>71</v>
      </c>
      <c r="AD26" s="15">
        <v>700</v>
      </c>
      <c r="AE26" s="15" t="s">
        <v>71</v>
      </c>
      <c r="AG26" s="1">
        <v>1260</v>
      </c>
      <c r="AH26" s="1" t="s">
        <v>71</v>
      </c>
      <c r="AJ26" s="33">
        <v>800</v>
      </c>
      <c r="AK26" s="33" t="s">
        <v>1</v>
      </c>
      <c r="AL26" s="33" t="s">
        <v>197</v>
      </c>
    </row>
    <row r="27" spans="2:38" x14ac:dyDescent="0.3">
      <c r="B27" s="2">
        <v>600</v>
      </c>
      <c r="C27" s="2" t="s">
        <v>24</v>
      </c>
      <c r="R27" s="13">
        <v>2000</v>
      </c>
      <c r="S27" s="1" t="s">
        <v>13</v>
      </c>
      <c r="U27" s="1">
        <v>5000</v>
      </c>
      <c r="V27" s="1" t="s">
        <v>13</v>
      </c>
      <c r="X27" s="1">
        <v>6100</v>
      </c>
      <c r="Y27" s="1" t="s">
        <v>13</v>
      </c>
      <c r="AA27" s="15">
        <v>6500</v>
      </c>
      <c r="AB27" s="15" t="s">
        <v>114</v>
      </c>
      <c r="AD27" s="27">
        <v>6500</v>
      </c>
      <c r="AE27" s="15" t="s">
        <v>114</v>
      </c>
      <c r="AG27" s="1">
        <v>2500</v>
      </c>
      <c r="AH27" s="1" t="s">
        <v>190</v>
      </c>
      <c r="AJ27" s="33">
        <v>2000</v>
      </c>
      <c r="AK27" s="33" t="s">
        <v>5</v>
      </c>
      <c r="AL27" s="33" t="s">
        <v>197</v>
      </c>
    </row>
    <row r="28" spans="2:38" x14ac:dyDescent="0.3">
      <c r="B28" s="2">
        <v>900</v>
      </c>
      <c r="C28" s="2" t="s">
        <v>25</v>
      </c>
      <c r="R28" s="12">
        <v>600</v>
      </c>
      <c r="S28" s="2" t="s">
        <v>24</v>
      </c>
      <c r="U28" s="2">
        <v>600</v>
      </c>
      <c r="V28" s="2" t="s">
        <v>24</v>
      </c>
      <c r="X28" s="12">
        <v>600</v>
      </c>
      <c r="Y28" s="12" t="s">
        <v>24</v>
      </c>
      <c r="AA28" s="16">
        <v>600</v>
      </c>
      <c r="AB28" s="16" t="s">
        <v>24</v>
      </c>
      <c r="AD28" s="16">
        <v>600</v>
      </c>
      <c r="AE28" s="16" t="s">
        <v>24</v>
      </c>
      <c r="AG28" s="2">
        <v>2500</v>
      </c>
      <c r="AH28" s="2" t="s">
        <v>191</v>
      </c>
      <c r="AJ28" s="33">
        <v>1500</v>
      </c>
      <c r="AK28" s="33" t="s">
        <v>194</v>
      </c>
      <c r="AL28" s="33" t="s">
        <v>197</v>
      </c>
    </row>
    <row r="29" spans="2:38" x14ac:dyDescent="0.3">
      <c r="B29" s="2">
        <v>2200</v>
      </c>
      <c r="C29" s="2" t="s">
        <v>26</v>
      </c>
      <c r="R29" s="13">
        <v>1000</v>
      </c>
      <c r="S29" s="2" t="s">
        <v>30</v>
      </c>
      <c r="U29" s="2">
        <v>1000</v>
      </c>
      <c r="V29" s="2" t="s">
        <v>30</v>
      </c>
      <c r="X29" s="2">
        <v>10500</v>
      </c>
      <c r="Y29" s="2" t="s">
        <v>107</v>
      </c>
      <c r="AA29" s="16">
        <v>11000</v>
      </c>
      <c r="AB29" s="16" t="s">
        <v>107</v>
      </c>
      <c r="AD29" s="16">
        <v>11000</v>
      </c>
      <c r="AE29" s="16" t="s">
        <v>107</v>
      </c>
      <c r="AJ29" s="33">
        <v>6500</v>
      </c>
      <c r="AK29" s="33" t="s">
        <v>13</v>
      </c>
      <c r="AL29" s="33" t="s">
        <v>197</v>
      </c>
    </row>
    <row r="30" spans="2:38" x14ac:dyDescent="0.3">
      <c r="R30" s="12">
        <v>14000</v>
      </c>
      <c r="S30" s="2" t="s">
        <v>69</v>
      </c>
      <c r="U30" s="2">
        <v>1500</v>
      </c>
      <c r="V30" s="2" t="s">
        <v>32</v>
      </c>
      <c r="X30" s="2"/>
      <c r="Y30" s="2"/>
      <c r="AA30" s="9">
        <v>730</v>
      </c>
      <c r="AB30" s="12" t="s">
        <v>116</v>
      </c>
      <c r="AD30" s="16">
        <v>800</v>
      </c>
      <c r="AE30" s="16" t="s">
        <v>181</v>
      </c>
      <c r="AJ30" s="33">
        <v>100</v>
      </c>
      <c r="AK30" s="33" t="s">
        <v>9</v>
      </c>
      <c r="AL30" s="33" t="s">
        <v>197</v>
      </c>
    </row>
    <row r="31" spans="2:38" x14ac:dyDescent="0.3">
      <c r="R31" s="13">
        <v>2000</v>
      </c>
      <c r="S31" s="2" t="s">
        <v>70</v>
      </c>
      <c r="AA31" s="16">
        <v>800</v>
      </c>
      <c r="AB31" s="16" t="s">
        <v>115</v>
      </c>
      <c r="AJ31" s="33">
        <v>1500</v>
      </c>
      <c r="AK31" s="33" t="s">
        <v>191</v>
      </c>
      <c r="AL31" s="33" t="s">
        <v>197</v>
      </c>
    </row>
    <row r="34" spans="36:38" x14ac:dyDescent="0.3">
      <c r="AJ34" s="34"/>
      <c r="AK34" s="34"/>
      <c r="AL34" s="34"/>
    </row>
  </sheetData>
  <pageMargins left="0.7" right="0.7" top="0.75" bottom="0.75" header="0.3" footer="0.3"/>
  <pageSetup paperSize="9" orientation="portrait" horizontalDpi="300" r:id="rId1"/>
  <headerFooter>
    <oddHeader>&amp;L&amp;"CorpoS"&amp;10&amp;K000000Internal&amp;1#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21"/>
  <sheetViews>
    <sheetView topLeftCell="A13" workbookViewId="0">
      <selection activeCell="D27" sqref="D27"/>
    </sheetView>
  </sheetViews>
  <sheetFormatPr defaultRowHeight="14.4" x14ac:dyDescent="0.3"/>
  <cols>
    <col min="3" max="3" width="45.33203125" style="22" bestFit="1" customWidth="1"/>
    <col min="4" max="4" width="78.88671875" bestFit="1" customWidth="1"/>
  </cols>
  <sheetData>
    <row r="1" spans="3:4" ht="17.399999999999999" x14ac:dyDescent="0.3">
      <c r="C1" s="40" t="s">
        <v>234</v>
      </c>
      <c r="D1" s="41">
        <v>8011016059189</v>
      </c>
    </row>
    <row r="2" spans="3:4" ht="17.399999999999999" x14ac:dyDescent="0.3">
      <c r="C2" s="40" t="s">
        <v>233</v>
      </c>
      <c r="D2" s="42">
        <v>1118278518</v>
      </c>
    </row>
    <row r="3" spans="3:4" ht="17.399999999999999" x14ac:dyDescent="0.3">
      <c r="C3" s="40" t="s">
        <v>232</v>
      </c>
      <c r="D3" s="42">
        <v>196905</v>
      </c>
    </row>
    <row r="4" spans="3:4" ht="17.399999999999999" x14ac:dyDescent="0.3">
      <c r="C4" s="40" t="s">
        <v>231</v>
      </c>
      <c r="D4" s="42" t="s">
        <v>230</v>
      </c>
    </row>
    <row r="5" spans="3:4" ht="17.399999999999999" x14ac:dyDescent="0.3">
      <c r="C5" s="40" t="s">
        <v>229</v>
      </c>
      <c r="D5" s="43" t="s">
        <v>228</v>
      </c>
    </row>
    <row r="6" spans="3:4" ht="17.399999999999999" x14ac:dyDescent="0.3">
      <c r="C6" s="40" t="s">
        <v>227</v>
      </c>
      <c r="D6" s="44">
        <v>5003119990</v>
      </c>
    </row>
    <row r="7" spans="3:4" ht="17.399999999999999" x14ac:dyDescent="0.3">
      <c r="C7" s="40" t="s">
        <v>226</v>
      </c>
      <c r="D7" s="44" t="s">
        <v>225</v>
      </c>
    </row>
    <row r="8" spans="3:4" ht="17.399999999999999" x14ac:dyDescent="0.3">
      <c r="C8" s="195" t="s">
        <v>224</v>
      </c>
      <c r="D8" s="195"/>
    </row>
    <row r="9" spans="3:4" ht="18" x14ac:dyDescent="0.35">
      <c r="C9" s="45" t="s">
        <v>223</v>
      </c>
      <c r="D9" s="46" t="s">
        <v>222</v>
      </c>
    </row>
    <row r="10" spans="3:4" ht="18" x14ac:dyDescent="0.35">
      <c r="C10" s="45" t="s">
        <v>80</v>
      </c>
      <c r="D10" s="47" t="s">
        <v>221</v>
      </c>
    </row>
    <row r="11" spans="3:4" ht="18" x14ac:dyDescent="0.35">
      <c r="C11" s="45" t="s">
        <v>79</v>
      </c>
      <c r="D11" s="47" t="s">
        <v>220</v>
      </c>
    </row>
    <row r="12" spans="3:4" ht="18" x14ac:dyDescent="0.35">
      <c r="C12" s="45" t="s">
        <v>189</v>
      </c>
      <c r="D12" s="47" t="s">
        <v>219</v>
      </c>
    </row>
    <row r="13" spans="3:4" ht="18" x14ac:dyDescent="0.35">
      <c r="C13" s="48" t="s">
        <v>218</v>
      </c>
      <c r="D13" s="49" t="s">
        <v>217</v>
      </c>
    </row>
    <row r="14" spans="3:4" ht="18" x14ac:dyDescent="0.35">
      <c r="C14" s="194" t="s">
        <v>216</v>
      </c>
      <c r="D14" s="194"/>
    </row>
    <row r="15" spans="3:4" ht="18" x14ac:dyDescent="0.35">
      <c r="C15" s="45" t="s">
        <v>215</v>
      </c>
      <c r="D15" s="47" t="s">
        <v>214</v>
      </c>
    </row>
    <row r="16" spans="3:4" ht="18" x14ac:dyDescent="0.35">
      <c r="C16" s="45" t="s">
        <v>213</v>
      </c>
      <c r="D16" s="47" t="s">
        <v>212</v>
      </c>
    </row>
    <row r="17" spans="3:4" ht="18" x14ac:dyDescent="0.35">
      <c r="C17" s="45" t="s">
        <v>211</v>
      </c>
      <c r="D17" s="47" t="s">
        <v>210</v>
      </c>
    </row>
    <row r="18" spans="3:4" ht="18" x14ac:dyDescent="0.35">
      <c r="C18" s="45"/>
      <c r="D18" s="46"/>
    </row>
    <row r="19" spans="3:4" ht="18" x14ac:dyDescent="0.35">
      <c r="C19" s="45" t="s">
        <v>209</v>
      </c>
      <c r="D19" s="50" t="s">
        <v>208</v>
      </c>
    </row>
    <row r="20" spans="3:4" ht="18" x14ac:dyDescent="0.35">
      <c r="C20" s="45" t="s">
        <v>207</v>
      </c>
      <c r="D20" s="47" t="s">
        <v>206</v>
      </c>
    </row>
    <row r="21" spans="3:4" ht="18" x14ac:dyDescent="0.35">
      <c r="C21" s="51" t="s">
        <v>235</v>
      </c>
      <c r="D21" s="47" t="s">
        <v>236</v>
      </c>
    </row>
  </sheetData>
  <mergeCells count="2">
    <mergeCell ref="C14:D14"/>
    <mergeCell ref="C8:D8"/>
  </mergeCells>
  <hyperlinks>
    <hyperlink ref="D19" r:id="rId1"/>
  </hyperlinks>
  <pageMargins left="0.7" right="0.7" top="0.75" bottom="0.75" header="0.3" footer="0.3"/>
  <pageSetup paperSize="9" orientation="portrait" r:id="rId2"/>
  <headerFooter>
    <oddHeader>&amp;L&amp;"CorpoS"&amp;10&amp;K000000Internal&amp;1#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activeCell="C18" sqref="C18"/>
    </sheetView>
  </sheetViews>
  <sheetFormatPr defaultRowHeight="14.4" x14ac:dyDescent="0.3"/>
  <cols>
    <col min="1" max="1" width="25.33203125" style="22" bestFit="1" customWidth="1"/>
    <col min="2" max="2" width="16.44140625" style="19" bestFit="1" customWidth="1"/>
    <col min="4" max="4" width="15.33203125" bestFit="1" customWidth="1"/>
  </cols>
  <sheetData>
    <row r="1" spans="1:2" x14ac:dyDescent="0.3">
      <c r="A1" s="20" t="s">
        <v>117</v>
      </c>
      <c r="B1" s="17">
        <v>1</v>
      </c>
    </row>
    <row r="2" spans="1:2" x14ac:dyDescent="0.3">
      <c r="A2" s="20" t="s">
        <v>118</v>
      </c>
      <c r="B2" s="17">
        <v>1</v>
      </c>
    </row>
    <row r="3" spans="1:2" x14ac:dyDescent="0.3">
      <c r="A3" s="20" t="s">
        <v>119</v>
      </c>
      <c r="B3" s="17">
        <v>1</v>
      </c>
    </row>
    <row r="4" spans="1:2" s="9" customFormat="1" x14ac:dyDescent="0.3">
      <c r="A4" s="26" t="s">
        <v>120</v>
      </c>
      <c r="B4" s="18">
        <v>1</v>
      </c>
    </row>
    <row r="5" spans="1:2" x14ac:dyDescent="0.3">
      <c r="A5" s="20" t="s">
        <v>135</v>
      </c>
      <c r="B5" s="17" t="s">
        <v>136</v>
      </c>
    </row>
    <row r="6" spans="1:2" x14ac:dyDescent="0.3">
      <c r="A6" s="20" t="s">
        <v>155</v>
      </c>
      <c r="B6" s="17">
        <v>4</v>
      </c>
    </row>
    <row r="7" spans="1:2" x14ac:dyDescent="0.3">
      <c r="A7" s="20" t="s">
        <v>156</v>
      </c>
      <c r="B7" s="17">
        <v>2</v>
      </c>
    </row>
    <row r="8" spans="1:2" x14ac:dyDescent="0.3">
      <c r="A8" s="20" t="s">
        <v>157</v>
      </c>
      <c r="B8" s="17">
        <v>1</v>
      </c>
    </row>
    <row r="9" spans="1:2" x14ac:dyDescent="0.3">
      <c r="A9" s="20"/>
      <c r="B9" s="17"/>
    </row>
    <row r="10" spans="1:2" x14ac:dyDescent="0.3">
      <c r="A10" s="20" t="s">
        <v>121</v>
      </c>
      <c r="B10" s="17">
        <v>2</v>
      </c>
    </row>
    <row r="11" spans="1:2" s="9" customFormat="1" x14ac:dyDescent="0.3">
      <c r="A11" s="21" t="s">
        <v>122</v>
      </c>
      <c r="B11" s="18" t="s">
        <v>186</v>
      </c>
    </row>
    <row r="12" spans="1:2" x14ac:dyDescent="0.3">
      <c r="A12" s="20" t="s">
        <v>187</v>
      </c>
      <c r="B12" s="17" t="s">
        <v>151</v>
      </c>
    </row>
    <row r="13" spans="1:2" s="9" customFormat="1" x14ac:dyDescent="0.3">
      <c r="A13" s="26" t="s">
        <v>123</v>
      </c>
      <c r="B13" s="18">
        <v>2</v>
      </c>
    </row>
    <row r="14" spans="1:2" s="9" customFormat="1" x14ac:dyDescent="0.3">
      <c r="A14" s="26" t="s">
        <v>149</v>
      </c>
      <c r="B14" s="18" t="s">
        <v>150</v>
      </c>
    </row>
    <row r="15" spans="1:2" s="9" customFormat="1" x14ac:dyDescent="0.3">
      <c r="A15" s="26" t="s">
        <v>158</v>
      </c>
      <c r="B15" s="18">
        <v>1</v>
      </c>
    </row>
    <row r="16" spans="1:2" x14ac:dyDescent="0.3">
      <c r="A16" s="20"/>
      <c r="B16" s="17"/>
    </row>
    <row r="17" spans="1:2" x14ac:dyDescent="0.3">
      <c r="A17" s="20"/>
      <c r="B17" s="17"/>
    </row>
    <row r="18" spans="1:2" x14ac:dyDescent="0.3">
      <c r="A18" s="20"/>
      <c r="B18" s="17"/>
    </row>
    <row r="19" spans="1:2" s="9" customFormat="1" x14ac:dyDescent="0.3">
      <c r="A19" s="26" t="s">
        <v>124</v>
      </c>
      <c r="B19" s="18" t="s">
        <v>127</v>
      </c>
    </row>
    <row r="20" spans="1:2" x14ac:dyDescent="0.3">
      <c r="A20" s="20" t="s">
        <v>128</v>
      </c>
      <c r="B20" s="17" t="s">
        <v>129</v>
      </c>
    </row>
    <row r="21" spans="1:2" x14ac:dyDescent="0.3">
      <c r="A21" s="20" t="s">
        <v>125</v>
      </c>
      <c r="B21" s="17" t="s">
        <v>130</v>
      </c>
    </row>
    <row r="22" spans="1:2" x14ac:dyDescent="0.3">
      <c r="A22" s="20" t="s">
        <v>126</v>
      </c>
      <c r="B22" s="17" t="s">
        <v>130</v>
      </c>
    </row>
    <row r="23" spans="1:2" x14ac:dyDescent="0.3">
      <c r="A23" s="20" t="s">
        <v>131</v>
      </c>
      <c r="B23" s="17" t="s">
        <v>132</v>
      </c>
    </row>
    <row r="24" spans="1:2" x14ac:dyDescent="0.3">
      <c r="A24" s="20" t="s">
        <v>133</v>
      </c>
      <c r="B24" s="17" t="s">
        <v>132</v>
      </c>
    </row>
    <row r="25" spans="1:2" x14ac:dyDescent="0.3">
      <c r="A25" s="20" t="s">
        <v>134</v>
      </c>
      <c r="B25" s="17" t="s">
        <v>127</v>
      </c>
    </row>
    <row r="26" spans="1:2" x14ac:dyDescent="0.3">
      <c r="A26" s="20" t="s">
        <v>137</v>
      </c>
      <c r="B26" s="17" t="s">
        <v>127</v>
      </c>
    </row>
    <row r="27" spans="1:2" x14ac:dyDescent="0.3">
      <c r="A27" s="20" t="s">
        <v>145</v>
      </c>
      <c r="B27" s="17" t="s">
        <v>146</v>
      </c>
    </row>
    <row r="28" spans="1:2" x14ac:dyDescent="0.3">
      <c r="A28" s="20" t="s">
        <v>147</v>
      </c>
      <c r="B28" s="17" t="s">
        <v>148</v>
      </c>
    </row>
    <row r="29" spans="1:2" s="9" customFormat="1" x14ac:dyDescent="0.3">
      <c r="A29" s="26" t="s">
        <v>154</v>
      </c>
      <c r="B29" s="18" t="s">
        <v>152</v>
      </c>
    </row>
    <row r="30" spans="1:2" x14ac:dyDescent="0.3">
      <c r="A30" s="20" t="s">
        <v>153</v>
      </c>
      <c r="B30" s="17">
        <v>1</v>
      </c>
    </row>
    <row r="31" spans="1:2" x14ac:dyDescent="0.3">
      <c r="A31" s="20"/>
      <c r="B31" s="17"/>
    </row>
    <row r="32" spans="1:2" x14ac:dyDescent="0.3">
      <c r="A32" s="20" t="s">
        <v>138</v>
      </c>
      <c r="B32" s="17"/>
    </row>
    <row r="33" spans="1:2" x14ac:dyDescent="0.3">
      <c r="A33" s="20" t="s">
        <v>139</v>
      </c>
      <c r="B33" s="17"/>
    </row>
    <row r="34" spans="1:2" x14ac:dyDescent="0.3">
      <c r="A34" s="20" t="s">
        <v>140</v>
      </c>
      <c r="B34" s="17"/>
    </row>
    <row r="35" spans="1:2" x14ac:dyDescent="0.3">
      <c r="A35" s="20" t="s">
        <v>141</v>
      </c>
      <c r="B35" s="17"/>
    </row>
    <row r="36" spans="1:2" x14ac:dyDescent="0.3">
      <c r="A36" s="20" t="s">
        <v>142</v>
      </c>
      <c r="B36" s="17"/>
    </row>
    <row r="37" spans="1:2" x14ac:dyDescent="0.3">
      <c r="A37" s="20" t="s">
        <v>143</v>
      </c>
      <c r="B37" s="17"/>
    </row>
    <row r="38" spans="1:2" x14ac:dyDescent="0.3">
      <c r="A38" s="20" t="s">
        <v>144</v>
      </c>
      <c r="B38" s="17"/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A6" workbookViewId="0">
      <selection activeCell="D17" sqref="D17"/>
    </sheetView>
  </sheetViews>
  <sheetFormatPr defaultRowHeight="14.4" x14ac:dyDescent="0.3"/>
  <cols>
    <col min="3" max="3" width="7" bestFit="1" customWidth="1"/>
    <col min="4" max="4" width="17" bestFit="1" customWidth="1"/>
    <col min="6" max="6" width="43.5546875" bestFit="1" customWidth="1"/>
    <col min="12" max="12" width="17" bestFit="1" customWidth="1"/>
  </cols>
  <sheetData>
    <row r="1" spans="1:13" x14ac:dyDescent="0.3">
      <c r="A1" s="4"/>
      <c r="C1" t="s">
        <v>159</v>
      </c>
      <c r="D1" t="s">
        <v>160</v>
      </c>
    </row>
    <row r="2" spans="1:13" x14ac:dyDescent="0.3">
      <c r="A2" s="5"/>
      <c r="B2" s="23" t="s">
        <v>161</v>
      </c>
      <c r="C2">
        <v>685000</v>
      </c>
      <c r="D2">
        <v>0</v>
      </c>
    </row>
    <row r="3" spans="1:13" x14ac:dyDescent="0.3">
      <c r="A3" s="3"/>
      <c r="B3" s="23" t="s">
        <v>162</v>
      </c>
      <c r="C3">
        <v>626000</v>
      </c>
      <c r="D3">
        <v>95000</v>
      </c>
    </row>
    <row r="4" spans="1:13" x14ac:dyDescent="0.3">
      <c r="B4" t="s">
        <v>163</v>
      </c>
      <c r="C4">
        <v>550000</v>
      </c>
      <c r="D4">
        <v>176000</v>
      </c>
    </row>
    <row r="5" spans="1:13" x14ac:dyDescent="0.3">
      <c r="B5" t="s">
        <v>164</v>
      </c>
      <c r="C5">
        <v>500000</v>
      </c>
      <c r="D5">
        <v>250000</v>
      </c>
    </row>
    <row r="7" spans="1:13" x14ac:dyDescent="0.3">
      <c r="A7" s="6"/>
      <c r="I7">
        <v>1800000</v>
      </c>
    </row>
    <row r="8" spans="1:13" x14ac:dyDescent="0.3">
      <c r="I8">
        <v>1100000</v>
      </c>
    </row>
    <row r="10" spans="1:13" x14ac:dyDescent="0.3">
      <c r="K10">
        <v>700000</v>
      </c>
      <c r="M10">
        <v>19000</v>
      </c>
    </row>
    <row r="11" spans="1:13" x14ac:dyDescent="0.3">
      <c r="K11">
        <v>800000</v>
      </c>
      <c r="M11">
        <v>8500</v>
      </c>
    </row>
    <row r="12" spans="1:13" x14ac:dyDescent="0.3">
      <c r="M12">
        <v>2000</v>
      </c>
    </row>
    <row r="13" spans="1:13" x14ac:dyDescent="0.3">
      <c r="F13" s="9"/>
      <c r="G13" s="9"/>
      <c r="M13">
        <v>5000</v>
      </c>
    </row>
    <row r="14" spans="1:13" x14ac:dyDescent="0.3">
      <c r="M14">
        <v>5000</v>
      </c>
    </row>
    <row r="15" spans="1:13" x14ac:dyDescent="0.3">
      <c r="C15" s="1">
        <v>13000</v>
      </c>
      <c r="D15" s="1" t="s">
        <v>72</v>
      </c>
      <c r="F15" s="9"/>
      <c r="G15" s="9"/>
      <c r="K15" s="1">
        <v>13000</v>
      </c>
      <c r="L15" s="1" t="s">
        <v>72</v>
      </c>
      <c r="M15">
        <v>5000</v>
      </c>
    </row>
    <row r="16" spans="1:13" x14ac:dyDescent="0.3">
      <c r="C16" s="1">
        <v>5000</v>
      </c>
      <c r="D16" s="1" t="s">
        <v>2</v>
      </c>
      <c r="K16" s="1">
        <v>5000</v>
      </c>
      <c r="L16" s="1" t="s">
        <v>2</v>
      </c>
    </row>
    <row r="17" spans="3:12" x14ac:dyDescent="0.3">
      <c r="C17" s="1">
        <v>9000</v>
      </c>
      <c r="D17" s="1" t="s">
        <v>29</v>
      </c>
      <c r="F17">
        <v>800000</v>
      </c>
      <c r="G17">
        <v>550000</v>
      </c>
      <c r="H17">
        <v>26000</v>
      </c>
      <c r="I17">
        <f>H17*12</f>
        <v>312000</v>
      </c>
      <c r="K17" s="1">
        <v>8000</v>
      </c>
      <c r="L17" s="1" t="s">
        <v>29</v>
      </c>
    </row>
    <row r="18" spans="3:12" x14ac:dyDescent="0.3">
      <c r="C18" s="1">
        <v>2000</v>
      </c>
      <c r="D18" s="1" t="s">
        <v>5</v>
      </c>
      <c r="F18">
        <v>200000</v>
      </c>
      <c r="G18">
        <v>200000</v>
      </c>
      <c r="H18">
        <v>14000</v>
      </c>
      <c r="I18">
        <f>H18*12</f>
        <v>168000</v>
      </c>
      <c r="K18" s="2">
        <v>5000</v>
      </c>
      <c r="L18" s="2" t="s">
        <v>179</v>
      </c>
    </row>
    <row r="19" spans="3:12" x14ac:dyDescent="0.3">
      <c r="C19" s="1">
        <v>1500</v>
      </c>
      <c r="D19" s="1" t="s">
        <v>6</v>
      </c>
    </row>
    <row r="20" spans="3:12" x14ac:dyDescent="0.3">
      <c r="C20" s="1">
        <v>1000</v>
      </c>
      <c r="D20" s="1" t="s">
        <v>7</v>
      </c>
      <c r="K20" s="1">
        <v>2000</v>
      </c>
      <c r="L20" s="1" t="s">
        <v>5</v>
      </c>
    </row>
    <row r="21" spans="3:12" x14ac:dyDescent="0.3">
      <c r="C21" s="1">
        <v>100</v>
      </c>
      <c r="D21" s="1" t="s">
        <v>8</v>
      </c>
      <c r="K21" s="1">
        <v>1500</v>
      </c>
      <c r="L21" s="1" t="s">
        <v>6</v>
      </c>
    </row>
    <row r="22" spans="3:12" x14ac:dyDescent="0.3">
      <c r="C22" s="1">
        <v>100</v>
      </c>
      <c r="D22" s="1" t="s">
        <v>9</v>
      </c>
      <c r="K22" s="1">
        <v>1000</v>
      </c>
      <c r="L22" s="1" t="s">
        <v>7</v>
      </c>
    </row>
    <row r="23" spans="3:12" x14ac:dyDescent="0.3">
      <c r="C23" s="1">
        <v>1000</v>
      </c>
      <c r="D23" s="1" t="s">
        <v>71</v>
      </c>
      <c r="K23" s="1">
        <v>100</v>
      </c>
      <c r="L23" s="1" t="s">
        <v>8</v>
      </c>
    </row>
    <row r="24" spans="3:12" x14ac:dyDescent="0.3">
      <c r="C24" s="1">
        <v>7000</v>
      </c>
      <c r="D24" s="1" t="s">
        <v>13</v>
      </c>
      <c r="K24" s="1">
        <v>100</v>
      </c>
      <c r="L24" s="1" t="s">
        <v>9</v>
      </c>
    </row>
    <row r="25" spans="3:12" x14ac:dyDescent="0.3">
      <c r="C25" s="1">
        <v>1000</v>
      </c>
      <c r="D25" s="1" t="s">
        <v>1</v>
      </c>
      <c r="K25" s="1">
        <v>1000</v>
      </c>
      <c r="L25" s="1" t="s">
        <v>71</v>
      </c>
    </row>
    <row r="26" spans="3:12" x14ac:dyDescent="0.3">
      <c r="K26" s="1">
        <v>7000</v>
      </c>
      <c r="L26" s="1" t="s">
        <v>13</v>
      </c>
    </row>
    <row r="27" spans="3:12" x14ac:dyDescent="0.3">
      <c r="K27" s="1">
        <v>1000</v>
      </c>
      <c r="L27" s="1" t="s">
        <v>1</v>
      </c>
    </row>
  </sheetData>
  <pageMargins left="0.7" right="0.7" top="0.75" bottom="0.75" header="0.3" footer="0.3"/>
  <pageSetup paperSize="9" orientation="portrait" horizontalDpi="300" r:id="rId1"/>
  <headerFooter>
    <oddHeader>&amp;L&amp;"CorpoS"&amp;10&amp;K000000Internal&amp;1#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opLeftCell="A4" workbookViewId="0">
      <selection activeCell="A27" sqref="A27"/>
    </sheetView>
  </sheetViews>
  <sheetFormatPr defaultRowHeight="14.4" x14ac:dyDescent="0.3"/>
  <cols>
    <col min="1" max="1" width="21.6640625" bestFit="1" customWidth="1"/>
    <col min="2" max="2" width="8" bestFit="1" customWidth="1"/>
    <col min="3" max="3" width="15.44140625" bestFit="1" customWidth="1"/>
    <col min="10" max="10" width="73" bestFit="1" customWidth="1"/>
    <col min="12" max="12" width="12.33203125" customWidth="1"/>
    <col min="13" max="13" width="3.44140625" customWidth="1"/>
    <col min="14" max="14" width="72.88671875" customWidth="1"/>
    <col min="19" max="19" width="15.33203125" bestFit="1" customWidth="1"/>
    <col min="20" max="20" width="13.6640625" bestFit="1" customWidth="1"/>
    <col min="21" max="21" width="23.44140625" bestFit="1" customWidth="1"/>
    <col min="22" max="22" width="17" bestFit="1" customWidth="1"/>
    <col min="23" max="23" width="31" bestFit="1" customWidth="1"/>
  </cols>
  <sheetData>
    <row r="1" spans="1:23" x14ac:dyDescent="0.3">
      <c r="A1" s="10" t="s">
        <v>33</v>
      </c>
      <c r="B1" s="10" t="s">
        <v>87</v>
      </c>
      <c r="C1" t="s">
        <v>66</v>
      </c>
    </row>
    <row r="2" spans="1:23" x14ac:dyDescent="0.3">
      <c r="A2" s="10" t="s">
        <v>34</v>
      </c>
      <c r="B2" s="10">
        <v>1660184</v>
      </c>
      <c r="C2" t="s">
        <v>58</v>
      </c>
    </row>
    <row r="3" spans="1:23" x14ac:dyDescent="0.3">
      <c r="A3" s="10" t="s">
        <v>35</v>
      </c>
      <c r="B3" s="10">
        <v>930709</v>
      </c>
      <c r="C3" t="s">
        <v>65</v>
      </c>
      <c r="M3" s="24"/>
      <c r="N3" s="24"/>
    </row>
    <row r="4" spans="1:23" x14ac:dyDescent="0.3">
      <c r="A4" s="9" t="s">
        <v>36</v>
      </c>
      <c r="B4" s="9">
        <v>464843</v>
      </c>
      <c r="J4" t="s">
        <v>56</v>
      </c>
      <c r="M4" s="25"/>
      <c r="N4" s="25"/>
    </row>
    <row r="5" spans="1:23" x14ac:dyDescent="0.3">
      <c r="A5" s="8" t="s">
        <v>37</v>
      </c>
      <c r="B5" s="8">
        <v>464843</v>
      </c>
      <c r="C5" t="s">
        <v>64</v>
      </c>
      <c r="J5" t="s">
        <v>57</v>
      </c>
      <c r="M5" s="24"/>
      <c r="N5" s="24"/>
    </row>
    <row r="6" spans="1:23" x14ac:dyDescent="0.3">
      <c r="A6" s="8" t="s">
        <v>38</v>
      </c>
      <c r="B6" s="8">
        <v>177293</v>
      </c>
      <c r="C6" t="s">
        <v>66</v>
      </c>
    </row>
    <row r="7" spans="1:23" x14ac:dyDescent="0.3">
      <c r="A7" s="8" t="s">
        <v>39</v>
      </c>
      <c r="B7" s="8">
        <v>35186</v>
      </c>
      <c r="C7" t="s">
        <v>55</v>
      </c>
    </row>
    <row r="8" spans="1:23" x14ac:dyDescent="0.3">
      <c r="A8" s="8" t="s">
        <v>40</v>
      </c>
      <c r="B8" s="8">
        <v>30403</v>
      </c>
      <c r="C8" t="s">
        <v>66</v>
      </c>
    </row>
    <row r="9" spans="1:23" x14ac:dyDescent="0.3">
      <c r="A9" s="8" t="s">
        <v>41</v>
      </c>
      <c r="B9" s="8">
        <v>85413</v>
      </c>
      <c r="C9" t="s">
        <v>66</v>
      </c>
    </row>
    <row r="10" spans="1:23" x14ac:dyDescent="0.3">
      <c r="A10" s="8" t="s">
        <v>42</v>
      </c>
      <c r="B10" s="8">
        <v>40784</v>
      </c>
      <c r="J10" t="s">
        <v>67</v>
      </c>
    </row>
    <row r="11" spans="1:23" x14ac:dyDescent="0.3">
      <c r="A11" s="8" t="s">
        <v>43</v>
      </c>
      <c r="B11" s="8">
        <v>29804</v>
      </c>
      <c r="J11" t="s">
        <v>68</v>
      </c>
    </row>
    <row r="12" spans="1:23" x14ac:dyDescent="0.3">
      <c r="A12" s="8" t="s">
        <v>44</v>
      </c>
      <c r="B12" s="8">
        <v>65960</v>
      </c>
      <c r="S12" t="s">
        <v>174</v>
      </c>
      <c r="T12" t="s">
        <v>175</v>
      </c>
      <c r="U12" t="s">
        <v>176</v>
      </c>
      <c r="V12" t="s">
        <v>177</v>
      </c>
      <c r="W12" t="s">
        <v>178</v>
      </c>
    </row>
    <row r="13" spans="1:23" x14ac:dyDescent="0.3">
      <c r="A13" s="9" t="s">
        <v>45</v>
      </c>
      <c r="B13" s="9">
        <v>812291</v>
      </c>
      <c r="O13">
        <v>649737</v>
      </c>
      <c r="S13" t="s">
        <v>165</v>
      </c>
      <c r="T13">
        <v>349268</v>
      </c>
      <c r="U13">
        <v>1266</v>
      </c>
      <c r="V13">
        <v>16850</v>
      </c>
      <c r="W13">
        <v>92986</v>
      </c>
    </row>
    <row r="14" spans="1:23" x14ac:dyDescent="0.3">
      <c r="A14" s="9" t="s">
        <v>46</v>
      </c>
      <c r="B14" s="9">
        <v>754750</v>
      </c>
      <c r="O14">
        <v>1800</v>
      </c>
      <c r="S14" t="s">
        <v>166</v>
      </c>
      <c r="T14">
        <v>20968</v>
      </c>
      <c r="U14">
        <v>56</v>
      </c>
      <c r="V14">
        <v>1415</v>
      </c>
      <c r="W14">
        <v>3485</v>
      </c>
    </row>
    <row r="15" spans="1:23" x14ac:dyDescent="0.3">
      <c r="A15" s="10" t="s">
        <v>47</v>
      </c>
      <c r="B15" s="10">
        <v>878591</v>
      </c>
      <c r="C15" t="s">
        <v>62</v>
      </c>
      <c r="S15" t="s">
        <v>167</v>
      </c>
      <c r="T15">
        <v>16100</v>
      </c>
      <c r="U15">
        <v>312</v>
      </c>
      <c r="V15">
        <v>580</v>
      </c>
      <c r="W15">
        <v>3085</v>
      </c>
    </row>
    <row r="16" spans="1:23" x14ac:dyDescent="0.3">
      <c r="A16" s="10" t="s">
        <v>48</v>
      </c>
      <c r="B16" s="10">
        <v>1518708</v>
      </c>
      <c r="C16" t="s">
        <v>63</v>
      </c>
      <c r="S16" t="s">
        <v>168</v>
      </c>
      <c r="T16">
        <v>51416</v>
      </c>
      <c r="U16">
        <v>134</v>
      </c>
      <c r="V16">
        <v>2230</v>
      </c>
      <c r="W16">
        <v>14783</v>
      </c>
    </row>
    <row r="17" spans="1:23" x14ac:dyDescent="0.3">
      <c r="A17" s="10" t="s">
        <v>49</v>
      </c>
      <c r="B17" s="10">
        <v>1996851</v>
      </c>
      <c r="C17" t="s">
        <v>59</v>
      </c>
      <c r="S17" t="s">
        <v>169</v>
      </c>
      <c r="T17">
        <v>64480</v>
      </c>
      <c r="U17">
        <v>202</v>
      </c>
      <c r="V17">
        <v>4239</v>
      </c>
      <c r="W17">
        <v>10193</v>
      </c>
    </row>
    <row r="18" spans="1:23" x14ac:dyDescent="0.3">
      <c r="A18" s="10" t="s">
        <v>50</v>
      </c>
      <c r="B18" s="10">
        <v>1348003</v>
      </c>
      <c r="C18" t="s">
        <v>62</v>
      </c>
      <c r="S18" t="s">
        <v>170</v>
      </c>
      <c r="T18">
        <v>56610</v>
      </c>
      <c r="U18">
        <v>149</v>
      </c>
      <c r="V18">
        <v>486</v>
      </c>
      <c r="W18">
        <v>17180</v>
      </c>
    </row>
    <row r="19" spans="1:23" x14ac:dyDescent="0.3">
      <c r="A19" s="10" t="s">
        <v>51</v>
      </c>
      <c r="B19" s="10">
        <v>1279941</v>
      </c>
      <c r="C19" t="s">
        <v>61</v>
      </c>
      <c r="S19" t="s">
        <v>171</v>
      </c>
      <c r="T19">
        <v>43585</v>
      </c>
      <c r="U19">
        <v>107</v>
      </c>
      <c r="V19">
        <v>3977</v>
      </c>
      <c r="W19">
        <v>16060</v>
      </c>
    </row>
    <row r="20" spans="1:23" x14ac:dyDescent="0.3">
      <c r="A20" s="8" t="s">
        <v>52</v>
      </c>
      <c r="B20" s="8">
        <v>409070</v>
      </c>
      <c r="C20" t="s">
        <v>60</v>
      </c>
      <c r="S20" t="s">
        <v>172</v>
      </c>
      <c r="T20">
        <v>53929</v>
      </c>
      <c r="U20">
        <v>152</v>
      </c>
      <c r="V20">
        <v>2732</v>
      </c>
      <c r="W20">
        <v>18526</v>
      </c>
    </row>
    <row r="21" spans="1:23" x14ac:dyDescent="0.3">
      <c r="A21" s="8" t="s">
        <v>53</v>
      </c>
      <c r="B21" s="8">
        <v>1483387</v>
      </c>
      <c r="C21" t="s">
        <v>54</v>
      </c>
      <c r="S21" t="s">
        <v>173</v>
      </c>
      <c r="T21">
        <v>42180</v>
      </c>
      <c r="U21">
        <v>154</v>
      </c>
      <c r="V21">
        <v>1191</v>
      </c>
      <c r="W21">
        <v>9674</v>
      </c>
    </row>
  </sheetData>
  <pageMargins left="0.7" right="0.7" top="0.75" bottom="0.75" header="0.3" footer="0.3"/>
  <pageSetup paperSize="9" orientation="portrait" horizontalDpi="300" r:id="rId1"/>
  <headerFooter>
    <oddHeader>&amp;L&amp;"CorpoS"&amp;10&amp;K000000Internal&amp;1#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opLeftCell="A3" zoomScaleNormal="100" workbookViewId="0">
      <selection activeCell="H26" sqref="H26"/>
    </sheetView>
  </sheetViews>
  <sheetFormatPr defaultRowHeight="14.4" x14ac:dyDescent="0.3"/>
  <cols>
    <col min="1" max="1" width="12.44140625" bestFit="1" customWidth="1"/>
    <col min="2" max="2" width="19.109375" bestFit="1" customWidth="1"/>
    <col min="9" max="9" width="30.109375" bestFit="1" customWidth="1"/>
    <col min="12" max="12" width="11.88671875" customWidth="1"/>
  </cols>
  <sheetData>
    <row r="1" spans="1:4" x14ac:dyDescent="0.3">
      <c r="A1" s="14" t="s">
        <v>74</v>
      </c>
      <c r="B1" s="14" t="s">
        <v>75</v>
      </c>
      <c r="C1" s="14" t="s">
        <v>76</v>
      </c>
      <c r="D1" s="14" t="s">
        <v>77</v>
      </c>
    </row>
    <row r="2" spans="1:4" x14ac:dyDescent="0.3">
      <c r="A2" t="s">
        <v>81</v>
      </c>
      <c r="B2">
        <v>1</v>
      </c>
      <c r="C2">
        <v>1</v>
      </c>
      <c r="D2">
        <v>0</v>
      </c>
    </row>
    <row r="3" spans="1:4" x14ac:dyDescent="0.3">
      <c r="A3" s="9" t="s">
        <v>78</v>
      </c>
      <c r="B3" s="9">
        <v>1</v>
      </c>
      <c r="C3" s="9">
        <v>1</v>
      </c>
      <c r="D3" s="9">
        <v>0</v>
      </c>
    </row>
    <row r="4" spans="1:4" x14ac:dyDescent="0.3">
      <c r="A4" t="s">
        <v>79</v>
      </c>
      <c r="B4">
        <v>1</v>
      </c>
      <c r="C4">
        <v>1</v>
      </c>
      <c r="D4">
        <v>0</v>
      </c>
    </row>
    <row r="5" spans="1:4" x14ac:dyDescent="0.3">
      <c r="A5" t="s">
        <v>80</v>
      </c>
      <c r="B5">
        <v>4</v>
      </c>
      <c r="C5">
        <v>2</v>
      </c>
      <c r="D5">
        <v>2</v>
      </c>
    </row>
    <row r="6" spans="1:4" x14ac:dyDescent="0.3">
      <c r="A6" s="9" t="s">
        <v>82</v>
      </c>
      <c r="B6" s="9">
        <v>1</v>
      </c>
      <c r="C6" s="9">
        <v>1</v>
      </c>
      <c r="D6" s="9">
        <v>0</v>
      </c>
    </row>
    <row r="7" spans="1:4" x14ac:dyDescent="0.3">
      <c r="A7" t="s">
        <v>83</v>
      </c>
      <c r="B7">
        <v>3</v>
      </c>
      <c r="C7">
        <v>2</v>
      </c>
      <c r="D7">
        <v>1</v>
      </c>
    </row>
    <row r="8" spans="1:4" x14ac:dyDescent="0.3">
      <c r="A8" t="s">
        <v>84</v>
      </c>
      <c r="B8">
        <v>3</v>
      </c>
      <c r="C8">
        <v>2</v>
      </c>
      <c r="D8">
        <v>1</v>
      </c>
    </row>
    <row r="9" spans="1:4" x14ac:dyDescent="0.3">
      <c r="A9" t="s">
        <v>73</v>
      </c>
      <c r="B9">
        <v>4</v>
      </c>
      <c r="C9">
        <v>2</v>
      </c>
      <c r="D9">
        <v>2</v>
      </c>
    </row>
    <row r="10" spans="1:4" x14ac:dyDescent="0.3">
      <c r="A10" t="s">
        <v>85</v>
      </c>
      <c r="B10">
        <v>1</v>
      </c>
      <c r="C10">
        <v>1</v>
      </c>
      <c r="D10">
        <v>0</v>
      </c>
    </row>
    <row r="11" spans="1:4" x14ac:dyDescent="0.3">
      <c r="A11" s="9" t="s">
        <v>86</v>
      </c>
      <c r="B11" s="9">
        <v>2</v>
      </c>
      <c r="C11" s="9">
        <v>2</v>
      </c>
      <c r="D11" s="9">
        <v>0</v>
      </c>
    </row>
    <row r="12" spans="1:4" x14ac:dyDescent="0.3">
      <c r="A12" t="s">
        <v>88</v>
      </c>
      <c r="B12">
        <v>3</v>
      </c>
      <c r="C12">
        <v>2</v>
      </c>
      <c r="D12">
        <v>1</v>
      </c>
    </row>
    <row r="13" spans="1:4" x14ac:dyDescent="0.3">
      <c r="A13" t="s">
        <v>89</v>
      </c>
      <c r="B13">
        <v>5</v>
      </c>
      <c r="C13">
        <v>4</v>
      </c>
      <c r="D13">
        <v>1</v>
      </c>
    </row>
    <row r="14" spans="1:4" x14ac:dyDescent="0.3">
      <c r="A14" s="9" t="s">
        <v>90</v>
      </c>
      <c r="B14" s="9">
        <v>3</v>
      </c>
      <c r="C14" s="9">
        <v>2</v>
      </c>
      <c r="D14" s="9">
        <v>1</v>
      </c>
    </row>
    <row r="15" spans="1:4" x14ac:dyDescent="0.3">
      <c r="A15" t="s">
        <v>91</v>
      </c>
      <c r="B15">
        <v>4</v>
      </c>
      <c r="C15">
        <v>2</v>
      </c>
      <c r="D15">
        <v>2</v>
      </c>
    </row>
    <row r="16" spans="1:4" x14ac:dyDescent="0.3">
      <c r="A16" t="s">
        <v>92</v>
      </c>
      <c r="B16">
        <v>2</v>
      </c>
      <c r="C16">
        <v>2</v>
      </c>
      <c r="D16">
        <v>0</v>
      </c>
    </row>
    <row r="17" spans="1:10" x14ac:dyDescent="0.3">
      <c r="A17" t="s">
        <v>93</v>
      </c>
      <c r="B17">
        <v>1</v>
      </c>
      <c r="C17">
        <v>1</v>
      </c>
      <c r="D17">
        <v>0</v>
      </c>
    </row>
    <row r="18" spans="1:10" x14ac:dyDescent="0.3">
      <c r="A18" t="s">
        <v>94</v>
      </c>
      <c r="B18">
        <v>3</v>
      </c>
      <c r="C18">
        <v>2</v>
      </c>
      <c r="D18">
        <v>1</v>
      </c>
    </row>
    <row r="19" spans="1:10" x14ac:dyDescent="0.3">
      <c r="A19" t="s">
        <v>95</v>
      </c>
      <c r="B19">
        <v>4</v>
      </c>
      <c r="C19">
        <v>2</v>
      </c>
      <c r="D19">
        <v>2</v>
      </c>
    </row>
    <row r="20" spans="1:10" x14ac:dyDescent="0.3">
      <c r="A20" t="s">
        <v>96</v>
      </c>
      <c r="B20">
        <v>3</v>
      </c>
      <c r="C20">
        <v>2</v>
      </c>
      <c r="D20">
        <v>1</v>
      </c>
    </row>
    <row r="21" spans="1:10" x14ac:dyDescent="0.3">
      <c r="A21" t="s">
        <v>97</v>
      </c>
      <c r="B21">
        <v>4</v>
      </c>
      <c r="C21">
        <v>2</v>
      </c>
      <c r="D21">
        <v>2</v>
      </c>
    </row>
    <row r="22" spans="1:10" x14ac:dyDescent="0.3">
      <c r="A22" t="s">
        <v>98</v>
      </c>
      <c r="B22">
        <v>4</v>
      </c>
      <c r="C22">
        <v>2</v>
      </c>
      <c r="D22">
        <v>2</v>
      </c>
    </row>
    <row r="23" spans="1:10" x14ac:dyDescent="0.3">
      <c r="A23" t="s">
        <v>99</v>
      </c>
      <c r="B23">
        <v>4</v>
      </c>
      <c r="C23">
        <v>2</v>
      </c>
      <c r="D23">
        <v>2</v>
      </c>
    </row>
    <row r="24" spans="1:10" x14ac:dyDescent="0.3">
      <c r="A24" s="9" t="s">
        <v>100</v>
      </c>
      <c r="B24" s="9">
        <v>3</v>
      </c>
      <c r="C24" s="9">
        <v>2</v>
      </c>
      <c r="D24" s="9">
        <v>1</v>
      </c>
    </row>
    <row r="25" spans="1:10" x14ac:dyDescent="0.3">
      <c r="A25" t="s">
        <v>182</v>
      </c>
      <c r="B25">
        <v>3</v>
      </c>
      <c r="C25">
        <v>2</v>
      </c>
      <c r="D25">
        <v>1</v>
      </c>
    </row>
    <row r="26" spans="1:10" x14ac:dyDescent="0.3">
      <c r="A26" t="s">
        <v>183</v>
      </c>
      <c r="B26">
        <v>3</v>
      </c>
      <c r="C26">
        <v>2</v>
      </c>
      <c r="D26">
        <v>1</v>
      </c>
    </row>
    <row r="27" spans="1:10" x14ac:dyDescent="0.3">
      <c r="A27" t="s">
        <v>184</v>
      </c>
      <c r="B27">
        <v>3</v>
      </c>
      <c r="C27">
        <v>2</v>
      </c>
      <c r="D27">
        <v>1</v>
      </c>
    </row>
    <row r="28" spans="1:10" x14ac:dyDescent="0.3">
      <c r="A28" t="s">
        <v>185</v>
      </c>
      <c r="B28">
        <v>4</v>
      </c>
      <c r="C28">
        <v>2</v>
      </c>
      <c r="D28">
        <v>2</v>
      </c>
      <c r="I28" t="s">
        <v>101</v>
      </c>
      <c r="J28">
        <f>SUM(B:B)</f>
        <v>77</v>
      </c>
    </row>
    <row r="29" spans="1:10" x14ac:dyDescent="0.3">
      <c r="I29" t="s">
        <v>102</v>
      </c>
      <c r="J29">
        <f>SUM(C:C)</f>
        <v>50</v>
      </c>
    </row>
    <row r="30" spans="1:10" x14ac:dyDescent="0.3">
      <c r="I30" t="s">
        <v>103</v>
      </c>
      <c r="J30">
        <f>SUM(D:D)</f>
        <v>27</v>
      </c>
    </row>
    <row r="32" spans="1:10" x14ac:dyDescent="0.3">
      <c r="I32" t="s">
        <v>104</v>
      </c>
      <c r="J32">
        <f>J29*150</f>
        <v>7500</v>
      </c>
    </row>
    <row r="33" spans="9:10" x14ac:dyDescent="0.3">
      <c r="I33" t="s">
        <v>105</v>
      </c>
      <c r="J33">
        <f>J30*100</f>
        <v>2700</v>
      </c>
    </row>
  </sheetData>
  <pageMargins left="0.7" right="0.7" top="0.75" bottom="0.75" header="0.3" footer="0.3"/>
  <pageSetup paperSize="9" orientation="portrait" horizontalDpi="300" r:id="rId1"/>
  <headerFooter>
    <oddHeader>&amp;L&amp;"CorpoS"&amp;10&amp;K000000Internal&amp;1#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20" sqref="B20"/>
    </sheetView>
  </sheetViews>
  <sheetFormatPr defaultRowHeight="14.4" x14ac:dyDescent="0.3"/>
  <cols>
    <col min="1" max="1" width="14.33203125" bestFit="1" customWidth="1"/>
    <col min="2" max="2" width="19.44140625" bestFit="1" customWidth="1"/>
  </cols>
  <sheetData>
    <row r="1" spans="1:2" x14ac:dyDescent="0.3">
      <c r="A1" s="14" t="s">
        <v>74</v>
      </c>
      <c r="B1" s="14" t="s">
        <v>75</v>
      </c>
    </row>
    <row r="2" spans="1:2" x14ac:dyDescent="0.3">
      <c r="A2" s="28" t="s">
        <v>79</v>
      </c>
      <c r="B2" s="28">
        <v>1</v>
      </c>
    </row>
    <row r="3" spans="1:2" x14ac:dyDescent="0.3">
      <c r="A3" s="28" t="s">
        <v>80</v>
      </c>
      <c r="B3" s="28">
        <v>1</v>
      </c>
    </row>
    <row r="4" spans="1:2" x14ac:dyDescent="0.3">
      <c r="A4" s="28" t="s">
        <v>83</v>
      </c>
      <c r="B4" s="28">
        <v>1</v>
      </c>
    </row>
    <row r="5" spans="1:2" x14ac:dyDescent="0.3">
      <c r="A5" s="28" t="s">
        <v>84</v>
      </c>
      <c r="B5" s="28">
        <v>1</v>
      </c>
    </row>
    <row r="6" spans="1:2" x14ac:dyDescent="0.3">
      <c r="A6" s="28" t="s">
        <v>73</v>
      </c>
      <c r="B6" s="28">
        <v>1</v>
      </c>
    </row>
    <row r="7" spans="1:2" x14ac:dyDescent="0.3">
      <c r="A7" s="28" t="s">
        <v>88</v>
      </c>
      <c r="B7" s="28">
        <v>1</v>
      </c>
    </row>
    <row r="8" spans="1:2" x14ac:dyDescent="0.3">
      <c r="A8" s="28" t="s">
        <v>92</v>
      </c>
      <c r="B8" s="28">
        <v>1</v>
      </c>
    </row>
    <row r="9" spans="1:2" s="9" customFormat="1" x14ac:dyDescent="0.3">
      <c r="A9" s="28" t="s">
        <v>93</v>
      </c>
      <c r="B9" s="28">
        <v>1</v>
      </c>
    </row>
    <row r="10" spans="1:2" x14ac:dyDescent="0.3">
      <c r="A10" s="28" t="s">
        <v>189</v>
      </c>
      <c r="B10" s="28">
        <v>1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C19"/>
    </sheetView>
  </sheetViews>
  <sheetFormatPr defaultRowHeight="14.4" x14ac:dyDescent="0.3"/>
  <cols>
    <col min="2" max="2" width="18.5546875" bestFit="1" customWidth="1"/>
    <col min="4" max="4" width="10.6640625" bestFit="1" customWidth="1"/>
    <col min="5" max="5" width="13.33203125" bestFit="1" customWidth="1"/>
    <col min="6" max="6" width="5.6640625" bestFit="1" customWidth="1"/>
    <col min="7" max="7" width="11.44140625" bestFit="1" customWidth="1"/>
    <col min="8" max="8" width="10.88671875" bestFit="1" customWidth="1"/>
    <col min="9" max="9" width="21.6640625" customWidth="1"/>
    <col min="10" max="10" width="28" customWidth="1"/>
  </cols>
  <sheetData>
    <row r="1" spans="1:10" x14ac:dyDescent="0.3">
      <c r="A1" s="29" t="s">
        <v>192</v>
      </c>
      <c r="B1" s="29" t="s">
        <v>28</v>
      </c>
      <c r="C1" s="29" t="s">
        <v>196</v>
      </c>
      <c r="E1" s="36"/>
      <c r="F1" s="35"/>
      <c r="G1" s="35"/>
      <c r="H1" s="35"/>
      <c r="I1" s="196"/>
      <c r="J1" s="196"/>
    </row>
    <row r="2" spans="1:10" x14ac:dyDescent="0.3">
      <c r="A2" s="30"/>
      <c r="B2" s="30"/>
      <c r="C2" s="30"/>
    </row>
    <row r="3" spans="1:10" x14ac:dyDescent="0.3">
      <c r="A3" s="31">
        <v>500</v>
      </c>
      <c r="B3" s="31" t="s">
        <v>201</v>
      </c>
      <c r="C3" s="31" t="s">
        <v>199</v>
      </c>
      <c r="E3" s="37"/>
      <c r="I3" s="196"/>
      <c r="J3" s="196"/>
    </row>
    <row r="4" spans="1:10" x14ac:dyDescent="0.3">
      <c r="A4" s="39">
        <v>650</v>
      </c>
      <c r="B4" s="31" t="s">
        <v>7</v>
      </c>
      <c r="C4" s="31" t="s">
        <v>199</v>
      </c>
      <c r="E4" s="37"/>
      <c r="I4" s="196"/>
      <c r="J4" s="196"/>
    </row>
    <row r="5" spans="1:10" x14ac:dyDescent="0.3">
      <c r="A5" s="39">
        <v>100</v>
      </c>
      <c r="B5" s="31" t="s">
        <v>8</v>
      </c>
      <c r="C5" s="31" t="s">
        <v>199</v>
      </c>
      <c r="E5" s="37"/>
    </row>
    <row r="6" spans="1:10" x14ac:dyDescent="0.3">
      <c r="A6" s="39">
        <v>5000</v>
      </c>
      <c r="B6" s="32" t="s">
        <v>2</v>
      </c>
      <c r="C6" s="32" t="s">
        <v>198</v>
      </c>
      <c r="E6" s="37"/>
      <c r="I6" s="196"/>
      <c r="J6" s="196"/>
    </row>
    <row r="7" spans="1:10" x14ac:dyDescent="0.3">
      <c r="A7" s="39">
        <v>8300</v>
      </c>
      <c r="B7" s="32" t="s">
        <v>29</v>
      </c>
      <c r="C7" s="32" t="s">
        <v>198</v>
      </c>
      <c r="E7" s="37"/>
    </row>
    <row r="8" spans="1:10" x14ac:dyDescent="0.3">
      <c r="A8" s="39">
        <v>10600</v>
      </c>
      <c r="B8" s="32" t="s">
        <v>17</v>
      </c>
      <c r="C8" s="32" t="s">
        <v>198</v>
      </c>
      <c r="E8" s="37"/>
    </row>
    <row r="9" spans="1:10" x14ac:dyDescent="0.3">
      <c r="A9" s="39">
        <v>1100</v>
      </c>
      <c r="B9" s="32" t="s">
        <v>71</v>
      </c>
      <c r="C9" s="32" t="s">
        <v>198</v>
      </c>
      <c r="E9" s="37"/>
    </row>
    <row r="10" spans="1:10" x14ac:dyDescent="0.3">
      <c r="A10" s="39">
        <v>800</v>
      </c>
      <c r="B10" s="32" t="s">
        <v>203</v>
      </c>
      <c r="C10" s="32" t="s">
        <v>198</v>
      </c>
      <c r="E10" s="37"/>
    </row>
    <row r="11" spans="1:10" x14ac:dyDescent="0.3">
      <c r="A11" s="33">
        <v>800</v>
      </c>
      <c r="B11" s="33" t="s">
        <v>1</v>
      </c>
      <c r="C11" s="33" t="s">
        <v>197</v>
      </c>
      <c r="D11">
        <v>400</v>
      </c>
      <c r="E11" s="37"/>
    </row>
    <row r="12" spans="1:10" x14ac:dyDescent="0.3">
      <c r="A12" s="33">
        <v>2000</v>
      </c>
      <c r="B12" s="33" t="s">
        <v>5</v>
      </c>
      <c r="C12" s="33" t="s">
        <v>197</v>
      </c>
      <c r="D12">
        <v>400</v>
      </c>
      <c r="E12" s="37"/>
    </row>
    <row r="13" spans="1:10" x14ac:dyDescent="0.3">
      <c r="A13" s="33">
        <v>1500</v>
      </c>
      <c r="B13" s="33" t="s">
        <v>194</v>
      </c>
      <c r="C13" s="33" t="s">
        <v>197</v>
      </c>
      <c r="D13">
        <v>300</v>
      </c>
      <c r="E13" s="37"/>
    </row>
    <row r="14" spans="1:10" x14ac:dyDescent="0.3">
      <c r="A14" s="33">
        <v>6500</v>
      </c>
      <c r="B14" s="33" t="s">
        <v>13</v>
      </c>
      <c r="C14" s="33" t="s">
        <v>197</v>
      </c>
      <c r="D14">
        <v>1500</v>
      </c>
      <c r="E14" s="37"/>
    </row>
    <row r="15" spans="1:10" x14ac:dyDescent="0.3">
      <c r="A15" s="33">
        <v>1500</v>
      </c>
      <c r="B15" s="33" t="s">
        <v>200</v>
      </c>
      <c r="C15" s="33" t="s">
        <v>197</v>
      </c>
      <c r="E15" s="37"/>
    </row>
    <row r="16" spans="1:10" x14ac:dyDescent="0.3">
      <c r="A16" s="39">
        <v>1000</v>
      </c>
      <c r="B16" s="33" t="s">
        <v>195</v>
      </c>
      <c r="C16" s="33" t="s">
        <v>197</v>
      </c>
      <c r="E16" s="37"/>
    </row>
    <row r="17" spans="1:5" x14ac:dyDescent="0.3">
      <c r="A17" s="33">
        <v>100</v>
      </c>
      <c r="B17" s="33" t="s">
        <v>9</v>
      </c>
      <c r="C17" s="33" t="s">
        <v>197</v>
      </c>
      <c r="E17" s="37"/>
    </row>
    <row r="18" spans="1:5" x14ac:dyDescent="0.3">
      <c r="A18" s="39">
        <v>1500</v>
      </c>
      <c r="B18" s="33" t="s">
        <v>191</v>
      </c>
      <c r="C18" s="33" t="s">
        <v>197</v>
      </c>
      <c r="E18" s="37"/>
    </row>
    <row r="19" spans="1:5" x14ac:dyDescent="0.3">
      <c r="A19" s="38">
        <v>4000</v>
      </c>
      <c r="B19" s="34" t="s">
        <v>202</v>
      </c>
      <c r="C19" s="34" t="s">
        <v>197</v>
      </c>
      <c r="E19" s="37"/>
    </row>
    <row r="20" spans="1:5" x14ac:dyDescent="0.3">
      <c r="E20" s="37"/>
    </row>
    <row r="21" spans="1:5" x14ac:dyDescent="0.3">
      <c r="E21" s="37"/>
    </row>
    <row r="22" spans="1:5" x14ac:dyDescent="0.3">
      <c r="E22" s="37"/>
    </row>
    <row r="23" spans="1:5" x14ac:dyDescent="0.3">
      <c r="E23" s="37"/>
    </row>
    <row r="24" spans="1:5" x14ac:dyDescent="0.3">
      <c r="E24" s="37"/>
    </row>
    <row r="25" spans="1:5" x14ac:dyDescent="0.3">
      <c r="E25" s="37"/>
    </row>
    <row r="26" spans="1:5" x14ac:dyDescent="0.3">
      <c r="E26" s="37"/>
    </row>
    <row r="27" spans="1:5" x14ac:dyDescent="0.3">
      <c r="E27" s="37"/>
    </row>
    <row r="28" spans="1:5" x14ac:dyDescent="0.3">
      <c r="E28" s="37"/>
    </row>
    <row r="29" spans="1:5" x14ac:dyDescent="0.3">
      <c r="E29" s="37"/>
    </row>
    <row r="30" spans="1:5" x14ac:dyDescent="0.3">
      <c r="E30" s="37"/>
    </row>
    <row r="31" spans="1:5" x14ac:dyDescent="0.3">
      <c r="E31" s="37"/>
    </row>
    <row r="32" spans="1:5" x14ac:dyDescent="0.3">
      <c r="E32" s="37"/>
    </row>
    <row r="33" spans="5:5" x14ac:dyDescent="0.3">
      <c r="E33" s="37"/>
    </row>
  </sheetData>
  <mergeCells count="4">
    <mergeCell ref="I1:J1"/>
    <mergeCell ref="I3:J3"/>
    <mergeCell ref="I4:J4"/>
    <mergeCell ref="I6:J6"/>
  </mergeCells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C19"/>
    </sheetView>
  </sheetViews>
  <sheetFormatPr defaultRowHeight="14.4" x14ac:dyDescent="0.3"/>
  <cols>
    <col min="1" max="1" width="6" bestFit="1" customWidth="1"/>
    <col min="2" max="2" width="18.5546875" bestFit="1" customWidth="1"/>
  </cols>
  <sheetData>
    <row r="1" spans="1:4" x14ac:dyDescent="0.3">
      <c r="A1" s="29" t="s">
        <v>192</v>
      </c>
      <c r="B1" s="29" t="s">
        <v>28</v>
      </c>
      <c r="C1" s="29" t="s">
        <v>196</v>
      </c>
    </row>
    <row r="2" spans="1:4" x14ac:dyDescent="0.3">
      <c r="A2" s="30"/>
      <c r="B2" s="30"/>
      <c r="C2" s="30"/>
    </row>
    <row r="3" spans="1:4" x14ac:dyDescent="0.3">
      <c r="A3" s="31">
        <v>500</v>
      </c>
      <c r="B3" s="31" t="s">
        <v>237</v>
      </c>
      <c r="C3" s="31" t="s">
        <v>199</v>
      </c>
    </row>
    <row r="4" spans="1:4" x14ac:dyDescent="0.3">
      <c r="A4" s="39">
        <v>650</v>
      </c>
      <c r="B4" s="31" t="s">
        <v>7</v>
      </c>
      <c r="C4" s="31" t="s">
        <v>199</v>
      </c>
    </row>
    <row r="5" spans="1:4" x14ac:dyDescent="0.3">
      <c r="A5" s="39">
        <v>100</v>
      </c>
      <c r="B5" s="31" t="s">
        <v>8</v>
      </c>
      <c r="C5" s="31" t="s">
        <v>199</v>
      </c>
    </row>
    <row r="6" spans="1:4" x14ac:dyDescent="0.3">
      <c r="A6" s="52">
        <v>5000</v>
      </c>
      <c r="B6" s="53" t="s">
        <v>2</v>
      </c>
      <c r="C6" s="53" t="s">
        <v>198</v>
      </c>
    </row>
    <row r="7" spans="1:4" x14ac:dyDescent="0.3">
      <c r="A7" s="52">
        <v>7600</v>
      </c>
      <c r="B7" s="53" t="s">
        <v>29</v>
      </c>
      <c r="C7" s="53" t="s">
        <v>198</v>
      </c>
    </row>
    <row r="8" spans="1:4" x14ac:dyDescent="0.3">
      <c r="A8" s="52">
        <v>10600</v>
      </c>
      <c r="B8" s="53" t="s">
        <v>17</v>
      </c>
      <c r="C8" s="53" t="s">
        <v>198</v>
      </c>
    </row>
    <row r="9" spans="1:4" x14ac:dyDescent="0.3">
      <c r="A9" s="52">
        <v>650</v>
      </c>
      <c r="B9" s="53" t="s">
        <v>71</v>
      </c>
      <c r="C9" s="53" t="s">
        <v>198</v>
      </c>
    </row>
    <row r="10" spans="1:4" x14ac:dyDescent="0.3">
      <c r="A10" s="52">
        <v>650</v>
      </c>
      <c r="B10" s="53" t="s">
        <v>238</v>
      </c>
      <c r="C10" s="53" t="s">
        <v>198</v>
      </c>
    </row>
    <row r="11" spans="1:4" x14ac:dyDescent="0.3">
      <c r="A11" s="52">
        <v>300</v>
      </c>
      <c r="B11" s="53" t="s">
        <v>203</v>
      </c>
      <c r="C11" s="53" t="s">
        <v>198</v>
      </c>
    </row>
    <row r="12" spans="1:4" x14ac:dyDescent="0.3">
      <c r="A12" s="54">
        <v>800</v>
      </c>
      <c r="B12" s="54" t="s">
        <v>1</v>
      </c>
      <c r="C12" s="54" t="s">
        <v>197</v>
      </c>
      <c r="D12">
        <v>400</v>
      </c>
    </row>
    <row r="13" spans="1:4" x14ac:dyDescent="0.3">
      <c r="A13" s="54">
        <v>2000</v>
      </c>
      <c r="B13" s="54" t="s">
        <v>5</v>
      </c>
      <c r="C13" s="54" t="s">
        <v>197</v>
      </c>
      <c r="D13">
        <v>1300</v>
      </c>
    </row>
    <row r="14" spans="1:4" x14ac:dyDescent="0.3">
      <c r="A14" s="54">
        <v>1500</v>
      </c>
      <c r="B14" s="54" t="s">
        <v>194</v>
      </c>
      <c r="C14" s="54" t="s">
        <v>197</v>
      </c>
      <c r="D14">
        <v>1000</v>
      </c>
    </row>
    <row r="15" spans="1:4" x14ac:dyDescent="0.3">
      <c r="A15" s="54">
        <v>6500</v>
      </c>
      <c r="B15" s="54" t="s">
        <v>13</v>
      </c>
      <c r="C15" s="54" t="s">
        <v>197</v>
      </c>
      <c r="D15">
        <v>4500</v>
      </c>
    </row>
    <row r="16" spans="1:4" x14ac:dyDescent="0.3">
      <c r="A16" s="54">
        <v>485</v>
      </c>
      <c r="B16" s="54" t="s">
        <v>239</v>
      </c>
      <c r="C16" s="54" t="s">
        <v>197</v>
      </c>
    </row>
    <row r="17" spans="1:3" x14ac:dyDescent="0.3">
      <c r="A17" s="54">
        <v>215</v>
      </c>
      <c r="B17" s="54" t="s">
        <v>240</v>
      </c>
      <c r="C17" s="54" t="s">
        <v>197</v>
      </c>
    </row>
    <row r="18" spans="1:3" x14ac:dyDescent="0.3">
      <c r="A18" s="54">
        <v>100</v>
      </c>
      <c r="B18" s="54" t="s">
        <v>9</v>
      </c>
      <c r="C18" s="54" t="s">
        <v>197</v>
      </c>
    </row>
    <row r="19" spans="1:3" x14ac:dyDescent="0.3">
      <c r="A19" s="54">
        <v>1500</v>
      </c>
      <c r="B19" s="54" t="s">
        <v>191</v>
      </c>
      <c r="C19" s="54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C19"/>
    </sheetView>
  </sheetViews>
  <sheetFormatPr defaultRowHeight="14.4" x14ac:dyDescent="0.3"/>
  <cols>
    <col min="2" max="2" width="17" bestFit="1" customWidth="1"/>
    <col min="6" max="6" width="10.109375" bestFit="1" customWidth="1"/>
  </cols>
  <sheetData>
    <row r="1" spans="1:6" x14ac:dyDescent="0.3">
      <c r="A1" s="29" t="s">
        <v>192</v>
      </c>
      <c r="B1" s="29" t="s">
        <v>28</v>
      </c>
      <c r="C1" s="29" t="s">
        <v>196</v>
      </c>
    </row>
    <row r="2" spans="1:6" x14ac:dyDescent="0.3">
      <c r="A2" s="30"/>
      <c r="B2" s="30"/>
      <c r="C2" s="30"/>
    </row>
    <row r="3" spans="1:6" x14ac:dyDescent="0.3">
      <c r="A3" s="31">
        <v>500</v>
      </c>
      <c r="B3" s="31" t="s">
        <v>237</v>
      </c>
      <c r="C3" s="31" t="s">
        <v>199</v>
      </c>
    </row>
    <row r="4" spans="1:6" x14ac:dyDescent="0.3">
      <c r="A4" s="39">
        <v>650</v>
      </c>
      <c r="B4" s="31" t="s">
        <v>7</v>
      </c>
      <c r="C4" s="31" t="s">
        <v>199</v>
      </c>
    </row>
    <row r="5" spans="1:6" x14ac:dyDescent="0.3">
      <c r="A5" s="39">
        <v>100</v>
      </c>
      <c r="B5" s="31" t="s">
        <v>8</v>
      </c>
      <c r="C5" s="31" t="s">
        <v>199</v>
      </c>
    </row>
    <row r="6" spans="1:6" x14ac:dyDescent="0.3">
      <c r="A6" s="52">
        <v>5000</v>
      </c>
      <c r="B6" s="53" t="s">
        <v>2</v>
      </c>
      <c r="C6" s="53" t="s">
        <v>198</v>
      </c>
    </row>
    <row r="7" spans="1:6" x14ac:dyDescent="0.3">
      <c r="A7" s="52">
        <v>7600</v>
      </c>
      <c r="B7" s="53" t="s">
        <v>29</v>
      </c>
      <c r="C7" s="53" t="s">
        <v>198</v>
      </c>
    </row>
    <row r="8" spans="1:6" x14ac:dyDescent="0.3">
      <c r="A8" s="52">
        <v>10650</v>
      </c>
      <c r="B8" s="53" t="s">
        <v>17</v>
      </c>
      <c r="C8" s="53" t="s">
        <v>198</v>
      </c>
    </row>
    <row r="9" spans="1:6" x14ac:dyDescent="0.3">
      <c r="A9" s="52">
        <v>650</v>
      </c>
      <c r="B9" s="53" t="s">
        <v>71</v>
      </c>
      <c r="C9" s="53" t="s">
        <v>198</v>
      </c>
    </row>
    <row r="10" spans="1:6" x14ac:dyDescent="0.3">
      <c r="A10" s="52">
        <v>650</v>
      </c>
      <c r="B10" s="53" t="s">
        <v>238</v>
      </c>
      <c r="C10" s="53" t="s">
        <v>198</v>
      </c>
    </row>
    <row r="11" spans="1:6" x14ac:dyDescent="0.3">
      <c r="A11" s="52">
        <v>300</v>
      </c>
      <c r="B11" s="53" t="s">
        <v>203</v>
      </c>
      <c r="C11" s="53" t="s">
        <v>198</v>
      </c>
    </row>
    <row r="12" spans="1:6" x14ac:dyDescent="0.3">
      <c r="A12" s="54">
        <v>800</v>
      </c>
      <c r="B12" s="54" t="s">
        <v>1</v>
      </c>
      <c r="C12" s="54" t="s">
        <v>197</v>
      </c>
      <c r="D12">
        <v>600</v>
      </c>
    </row>
    <row r="13" spans="1:6" x14ac:dyDescent="0.3">
      <c r="A13" s="54">
        <v>2000</v>
      </c>
      <c r="B13" s="54" t="s">
        <v>5</v>
      </c>
      <c r="C13" s="54" t="s">
        <v>197</v>
      </c>
      <c r="D13">
        <v>1500</v>
      </c>
    </row>
    <row r="14" spans="1:6" x14ac:dyDescent="0.3">
      <c r="A14" s="54">
        <v>1500</v>
      </c>
      <c r="B14" s="54" t="s">
        <v>194</v>
      </c>
      <c r="C14" s="54" t="s">
        <v>197</v>
      </c>
      <c r="D14">
        <v>350</v>
      </c>
    </row>
    <row r="15" spans="1:6" x14ac:dyDescent="0.3">
      <c r="A15" s="54">
        <v>6500</v>
      </c>
      <c r="B15" s="54" t="s">
        <v>13</v>
      </c>
      <c r="C15" s="54" t="s">
        <v>197</v>
      </c>
      <c r="D15">
        <v>3900</v>
      </c>
      <c r="E15">
        <v>760</v>
      </c>
      <c r="F15" t="s">
        <v>10</v>
      </c>
    </row>
    <row r="16" spans="1:6" x14ac:dyDescent="0.3">
      <c r="A16" s="54">
        <v>485</v>
      </c>
      <c r="B16" s="54" t="s">
        <v>239</v>
      </c>
      <c r="C16" s="54" t="s">
        <v>197</v>
      </c>
      <c r="D16">
        <v>485</v>
      </c>
      <c r="E16">
        <v>7000</v>
      </c>
      <c r="F16" t="s">
        <v>241</v>
      </c>
    </row>
    <row r="17" spans="1:4" x14ac:dyDescent="0.3">
      <c r="A17" s="54">
        <v>215</v>
      </c>
      <c r="B17" s="54" t="s">
        <v>240</v>
      </c>
      <c r="C17" s="54" t="s">
        <v>197</v>
      </c>
      <c r="D17">
        <v>215</v>
      </c>
    </row>
    <row r="18" spans="1:4" x14ac:dyDescent="0.3">
      <c r="A18" s="54">
        <v>100</v>
      </c>
      <c r="B18" s="54" t="s">
        <v>9</v>
      </c>
      <c r="C18" s="54" t="s">
        <v>197</v>
      </c>
      <c r="D18">
        <v>0</v>
      </c>
    </row>
    <row r="19" spans="1:4" x14ac:dyDescent="0.3">
      <c r="A19" s="54">
        <v>1500</v>
      </c>
      <c r="B19" s="54" t="s">
        <v>191</v>
      </c>
      <c r="C19" s="54" t="s">
        <v>197</v>
      </c>
      <c r="D19">
        <v>1500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sqref="A1:C21"/>
    </sheetView>
  </sheetViews>
  <sheetFormatPr defaultRowHeight="14.4" x14ac:dyDescent="0.3"/>
  <cols>
    <col min="2" max="2" width="24.44140625" customWidth="1"/>
  </cols>
  <sheetData>
    <row r="1" spans="1:7" x14ac:dyDescent="0.3">
      <c r="A1" s="55" t="s">
        <v>242</v>
      </c>
      <c r="B1" s="55" t="s">
        <v>28</v>
      </c>
      <c r="C1" s="55" t="s">
        <v>196</v>
      </c>
    </row>
    <row r="2" spans="1:7" x14ac:dyDescent="0.3">
      <c r="A2" s="24"/>
      <c r="B2" s="24"/>
      <c r="C2" s="24"/>
    </row>
    <row r="3" spans="1:7" x14ac:dyDescent="0.3">
      <c r="A3" s="56">
        <v>500</v>
      </c>
      <c r="B3" s="56" t="s">
        <v>237</v>
      </c>
      <c r="C3" s="56" t="s">
        <v>199</v>
      </c>
      <c r="D3" s="61"/>
    </row>
    <row r="4" spans="1:7" x14ac:dyDescent="0.3">
      <c r="A4" s="57">
        <v>650</v>
      </c>
      <c r="B4" s="56" t="s">
        <v>7</v>
      </c>
      <c r="C4" s="56" t="s">
        <v>199</v>
      </c>
      <c r="D4" s="61" t="s">
        <v>245</v>
      </c>
    </row>
    <row r="5" spans="1:7" x14ac:dyDescent="0.3">
      <c r="A5" s="57">
        <v>100</v>
      </c>
      <c r="B5" s="56" t="s">
        <v>8</v>
      </c>
      <c r="C5" s="56" t="s">
        <v>199</v>
      </c>
      <c r="D5" s="61"/>
    </row>
    <row r="6" spans="1:7" x14ac:dyDescent="0.3">
      <c r="A6" s="58">
        <v>5000</v>
      </c>
      <c r="B6" s="59" t="s">
        <v>2</v>
      </c>
      <c r="C6" s="59" t="s">
        <v>198</v>
      </c>
    </row>
    <row r="7" spans="1:7" x14ac:dyDescent="0.3">
      <c r="A7" s="58">
        <v>7600</v>
      </c>
      <c r="B7" s="59" t="s">
        <v>29</v>
      </c>
      <c r="C7" s="59" t="s">
        <v>198</v>
      </c>
    </row>
    <row r="8" spans="1:7" x14ac:dyDescent="0.3">
      <c r="A8" s="58">
        <v>10650</v>
      </c>
      <c r="B8" s="59" t="s">
        <v>17</v>
      </c>
      <c r="C8" s="59" t="s">
        <v>198</v>
      </c>
    </row>
    <row r="9" spans="1:7" x14ac:dyDescent="0.3">
      <c r="A9" s="58">
        <v>650</v>
      </c>
      <c r="B9" s="59" t="s">
        <v>71</v>
      </c>
      <c r="C9" s="59" t="s">
        <v>198</v>
      </c>
    </row>
    <row r="10" spans="1:7" x14ac:dyDescent="0.3">
      <c r="A10" s="58">
        <v>650</v>
      </c>
      <c r="B10" s="59" t="s">
        <v>238</v>
      </c>
      <c r="C10" s="59" t="s">
        <v>198</v>
      </c>
    </row>
    <row r="11" spans="1:7" x14ac:dyDescent="0.3">
      <c r="A11" s="58">
        <v>300</v>
      </c>
      <c r="B11" s="59" t="s">
        <v>203</v>
      </c>
      <c r="C11" s="59" t="s">
        <v>198</v>
      </c>
    </row>
    <row r="12" spans="1:7" x14ac:dyDescent="0.3">
      <c r="A12" s="60">
        <v>700</v>
      </c>
      <c r="B12" s="60" t="s">
        <v>1</v>
      </c>
      <c r="C12" s="60" t="s">
        <v>197</v>
      </c>
      <c r="D12">
        <v>500</v>
      </c>
    </row>
    <row r="13" spans="1:7" x14ac:dyDescent="0.3">
      <c r="A13" s="60">
        <v>2000</v>
      </c>
      <c r="B13" s="60" t="s">
        <v>5</v>
      </c>
      <c r="C13" s="60" t="s">
        <v>197</v>
      </c>
      <c r="D13">
        <v>750</v>
      </c>
    </row>
    <row r="14" spans="1:7" x14ac:dyDescent="0.3">
      <c r="A14" s="60">
        <v>1500</v>
      </c>
      <c r="B14" s="60" t="s">
        <v>194</v>
      </c>
      <c r="C14" s="60" t="s">
        <v>197</v>
      </c>
      <c r="D14">
        <v>250</v>
      </c>
    </row>
    <row r="15" spans="1:7" x14ac:dyDescent="0.3">
      <c r="A15" s="60">
        <v>6500</v>
      </c>
      <c r="B15" s="60" t="s">
        <v>13</v>
      </c>
      <c r="C15" s="60" t="s">
        <v>197</v>
      </c>
      <c r="D15">
        <v>2000</v>
      </c>
      <c r="E15">
        <v>1000</v>
      </c>
      <c r="F15" s="62">
        <v>110</v>
      </c>
      <c r="G15" s="62">
        <v>650</v>
      </c>
    </row>
    <row r="16" spans="1:7" x14ac:dyDescent="0.3">
      <c r="A16" s="60">
        <v>485</v>
      </c>
      <c r="B16" s="60" t="s">
        <v>239</v>
      </c>
      <c r="C16" s="60" t="s">
        <v>197</v>
      </c>
      <c r="D16">
        <v>485</v>
      </c>
    </row>
    <row r="17" spans="1:5" x14ac:dyDescent="0.3">
      <c r="A17" s="60">
        <v>215</v>
      </c>
      <c r="B17" s="60" t="s">
        <v>240</v>
      </c>
      <c r="C17" s="60" t="s">
        <v>197</v>
      </c>
      <c r="D17">
        <v>215</v>
      </c>
    </row>
    <row r="18" spans="1:5" x14ac:dyDescent="0.3">
      <c r="A18" s="60">
        <v>100</v>
      </c>
      <c r="B18" s="60" t="s">
        <v>9</v>
      </c>
      <c r="C18" s="60" t="s">
        <v>197</v>
      </c>
    </row>
    <row r="19" spans="1:5" x14ac:dyDescent="0.3">
      <c r="A19" s="60">
        <v>1700</v>
      </c>
      <c r="B19" s="60" t="s">
        <v>191</v>
      </c>
      <c r="C19" s="60" t="s">
        <v>197</v>
      </c>
      <c r="D19">
        <v>1700</v>
      </c>
    </row>
    <row r="20" spans="1:5" x14ac:dyDescent="0.3">
      <c r="A20" s="60">
        <v>500</v>
      </c>
      <c r="B20" s="60" t="s">
        <v>243</v>
      </c>
      <c r="C20" s="60" t="s">
        <v>197</v>
      </c>
      <c r="D20">
        <v>500</v>
      </c>
      <c r="E20">
        <v>400</v>
      </c>
    </row>
    <row r="21" spans="1:5" x14ac:dyDescent="0.3">
      <c r="A21" s="60">
        <v>500</v>
      </c>
      <c r="B21" s="60" t="s">
        <v>244</v>
      </c>
      <c r="C21" s="60" t="s">
        <v>197</v>
      </c>
      <c r="D21">
        <v>500</v>
      </c>
    </row>
  </sheetData>
  <pageMargins left="0.7" right="0.7" top="0.75" bottom="0.75" header="0.3" footer="0.3"/>
  <pageSetup orientation="portrait" r:id="rId1"/>
  <headerFooter>
    <oddHeader>&amp;L&amp;"CorpoS"&amp;10&amp;K000000Internal&amp;1#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sqref="A1:C24"/>
    </sheetView>
  </sheetViews>
  <sheetFormatPr defaultRowHeight="14.4" x14ac:dyDescent="0.3"/>
  <cols>
    <col min="1" max="1" width="19.88671875" customWidth="1"/>
    <col min="2" max="2" width="17" bestFit="1" customWidth="1"/>
    <col min="3" max="3" width="6.33203125" bestFit="1" customWidth="1"/>
  </cols>
  <sheetData>
    <row r="1" spans="1:4" x14ac:dyDescent="0.3">
      <c r="A1" s="55" t="s">
        <v>246</v>
      </c>
      <c r="B1" s="55" t="s">
        <v>28</v>
      </c>
      <c r="C1" s="55" t="s">
        <v>196</v>
      </c>
    </row>
    <row r="2" spans="1:4" x14ac:dyDescent="0.3">
      <c r="A2" s="55"/>
      <c r="B2" s="55"/>
      <c r="C2" s="55"/>
    </row>
    <row r="3" spans="1:4" x14ac:dyDescent="0.3">
      <c r="A3" s="55"/>
      <c r="B3" s="55"/>
      <c r="C3" s="55"/>
    </row>
    <row r="4" spans="1:4" x14ac:dyDescent="0.3">
      <c r="A4" s="24">
        <v>3500</v>
      </c>
      <c r="B4" s="24" t="s">
        <v>247</v>
      </c>
      <c r="C4" s="24" t="s">
        <v>248</v>
      </c>
    </row>
    <row r="5" spans="1:4" x14ac:dyDescent="0.3">
      <c r="A5" s="56">
        <v>500</v>
      </c>
      <c r="B5" s="56" t="s">
        <v>237</v>
      </c>
      <c r="C5" s="56" t="s">
        <v>199</v>
      </c>
    </row>
    <row r="6" spans="1:4" x14ac:dyDescent="0.3">
      <c r="A6" s="57">
        <v>650</v>
      </c>
      <c r="B6" s="56" t="s">
        <v>7</v>
      </c>
      <c r="C6" s="56" t="s">
        <v>199</v>
      </c>
    </row>
    <row r="7" spans="1:4" x14ac:dyDescent="0.3">
      <c r="A7" s="57">
        <v>100</v>
      </c>
      <c r="B7" s="56" t="s">
        <v>8</v>
      </c>
      <c r="C7" s="56" t="s">
        <v>199</v>
      </c>
    </row>
    <row r="8" spans="1:4" x14ac:dyDescent="0.3">
      <c r="A8" s="58">
        <v>5000</v>
      </c>
      <c r="B8" s="59" t="s">
        <v>2</v>
      </c>
      <c r="C8" s="59" t="s">
        <v>198</v>
      </c>
      <c r="D8" t="s">
        <v>249</v>
      </c>
    </row>
    <row r="9" spans="1:4" x14ac:dyDescent="0.3">
      <c r="A9" s="58">
        <v>8300</v>
      </c>
      <c r="B9" s="59" t="s">
        <v>29</v>
      </c>
      <c r="C9" s="59" t="s">
        <v>198</v>
      </c>
    </row>
    <row r="10" spans="1:4" x14ac:dyDescent="0.3">
      <c r="A10" s="58">
        <v>11000</v>
      </c>
      <c r="B10" s="59" t="s">
        <v>17</v>
      </c>
      <c r="C10" s="59" t="s">
        <v>198</v>
      </c>
      <c r="D10" t="s">
        <v>249</v>
      </c>
    </row>
    <row r="11" spans="1:4" x14ac:dyDescent="0.3">
      <c r="A11" s="58">
        <v>650</v>
      </c>
      <c r="B11" s="59" t="s">
        <v>71</v>
      </c>
      <c r="C11" s="59" t="s">
        <v>198</v>
      </c>
    </row>
    <row r="12" spans="1:4" x14ac:dyDescent="0.3">
      <c r="A12" s="58">
        <v>700</v>
      </c>
      <c r="B12" s="59" t="s">
        <v>238</v>
      </c>
      <c r="C12" s="59" t="s">
        <v>198</v>
      </c>
      <c r="D12" t="s">
        <v>249</v>
      </c>
    </row>
    <row r="13" spans="1:4" x14ac:dyDescent="0.3">
      <c r="A13" s="58">
        <v>700</v>
      </c>
      <c r="B13" s="59" t="s">
        <v>250</v>
      </c>
      <c r="C13" s="59" t="s">
        <v>198</v>
      </c>
    </row>
    <row r="14" spans="1:4" x14ac:dyDescent="0.3">
      <c r="A14" s="58">
        <v>300</v>
      </c>
      <c r="B14" s="59" t="s">
        <v>203</v>
      </c>
      <c r="C14" s="59" t="s">
        <v>198</v>
      </c>
      <c r="D14" t="s">
        <v>249</v>
      </c>
    </row>
    <row r="15" spans="1:4" x14ac:dyDescent="0.3">
      <c r="A15" s="60">
        <v>600</v>
      </c>
      <c r="B15" s="60" t="s">
        <v>1</v>
      </c>
      <c r="C15" s="60" t="s">
        <v>197</v>
      </c>
    </row>
    <row r="16" spans="1:4" x14ac:dyDescent="0.3">
      <c r="A16" s="60">
        <v>2000</v>
      </c>
      <c r="B16" s="60" t="s">
        <v>5</v>
      </c>
      <c r="C16" s="60" t="s">
        <v>197</v>
      </c>
    </row>
    <row r="17" spans="1:3" x14ac:dyDescent="0.3">
      <c r="A17" s="60">
        <v>1500</v>
      </c>
      <c r="B17" s="60" t="s">
        <v>194</v>
      </c>
      <c r="C17" s="60" t="s">
        <v>197</v>
      </c>
    </row>
    <row r="18" spans="1:3" x14ac:dyDescent="0.3">
      <c r="A18" s="60">
        <v>6500</v>
      </c>
      <c r="B18" s="60" t="s">
        <v>13</v>
      </c>
      <c r="C18" s="60" t="s">
        <v>197</v>
      </c>
    </row>
    <row r="19" spans="1:3" x14ac:dyDescent="0.3">
      <c r="A19" s="60">
        <v>0</v>
      </c>
      <c r="B19" s="60" t="s">
        <v>239</v>
      </c>
      <c r="C19" s="60" t="s">
        <v>197</v>
      </c>
    </row>
    <row r="20" spans="1:3" x14ac:dyDescent="0.3">
      <c r="A20" s="60">
        <v>0</v>
      </c>
      <c r="B20" s="60" t="s">
        <v>240</v>
      </c>
      <c r="C20" s="60" t="s">
        <v>197</v>
      </c>
    </row>
    <row r="21" spans="1:3" x14ac:dyDescent="0.3">
      <c r="A21" s="60">
        <v>100</v>
      </c>
      <c r="B21" s="60" t="s">
        <v>9</v>
      </c>
      <c r="C21" s="60" t="s">
        <v>197</v>
      </c>
    </row>
    <row r="22" spans="1:3" x14ac:dyDescent="0.3">
      <c r="A22" s="60">
        <v>1700</v>
      </c>
      <c r="B22" s="60" t="s">
        <v>191</v>
      </c>
      <c r="C22" s="60" t="s">
        <v>197</v>
      </c>
    </row>
    <row r="23" spans="1:3" x14ac:dyDescent="0.3">
      <c r="A23" s="60">
        <v>1000</v>
      </c>
      <c r="B23" s="60" t="s">
        <v>243</v>
      </c>
      <c r="C23" s="60" t="s">
        <v>197</v>
      </c>
    </row>
    <row r="24" spans="1:3" x14ac:dyDescent="0.3">
      <c r="A24" s="60">
        <v>500</v>
      </c>
      <c r="B24" s="60" t="s">
        <v>244</v>
      </c>
      <c r="C24" s="60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4" workbookViewId="0">
      <selection sqref="A1:C23"/>
    </sheetView>
  </sheetViews>
  <sheetFormatPr defaultRowHeight="14.4" x14ac:dyDescent="0.3"/>
  <cols>
    <col min="1" max="1" width="9.109375" style="7"/>
    <col min="2" max="2" width="25.109375" style="68" customWidth="1"/>
    <col min="3" max="3" width="45" customWidth="1"/>
  </cols>
  <sheetData>
    <row r="1" spans="1:4" x14ac:dyDescent="0.3">
      <c r="A1" s="55" t="s">
        <v>252</v>
      </c>
      <c r="B1" s="66" t="s">
        <v>28</v>
      </c>
      <c r="C1" s="55" t="s">
        <v>196</v>
      </c>
      <c r="D1" s="63" t="s">
        <v>253</v>
      </c>
    </row>
    <row r="2" spans="1:4" x14ac:dyDescent="0.3">
      <c r="A2" s="55"/>
      <c r="B2" s="66"/>
      <c r="C2" s="55"/>
      <c r="D2" s="35"/>
    </row>
    <row r="3" spans="1:4" x14ac:dyDescent="0.3">
      <c r="A3" s="69">
        <v>850</v>
      </c>
      <c r="B3" s="70" t="s">
        <v>255</v>
      </c>
      <c r="C3" s="69" t="s">
        <v>199</v>
      </c>
    </row>
    <row r="4" spans="1:4" x14ac:dyDescent="0.3">
      <c r="A4" s="69">
        <v>500</v>
      </c>
      <c r="B4" s="70" t="s">
        <v>254</v>
      </c>
      <c r="C4" s="69" t="s">
        <v>199</v>
      </c>
    </row>
    <row r="5" spans="1:4" x14ac:dyDescent="0.3">
      <c r="A5" s="69">
        <v>500</v>
      </c>
      <c r="B5" s="70" t="s">
        <v>237</v>
      </c>
      <c r="C5" s="69" t="s">
        <v>199</v>
      </c>
    </row>
    <row r="6" spans="1:4" x14ac:dyDescent="0.3">
      <c r="A6" s="69">
        <v>700</v>
      </c>
      <c r="B6" s="70" t="s">
        <v>7</v>
      </c>
      <c r="C6" s="69" t="s">
        <v>199</v>
      </c>
    </row>
    <row r="7" spans="1:4" x14ac:dyDescent="0.3">
      <c r="A7" s="69">
        <v>100</v>
      </c>
      <c r="B7" s="70" t="s">
        <v>8</v>
      </c>
      <c r="C7" s="69" t="s">
        <v>199</v>
      </c>
    </row>
    <row r="8" spans="1:4" x14ac:dyDescent="0.3">
      <c r="A8" s="65">
        <v>5000</v>
      </c>
      <c r="B8" s="67" t="s">
        <v>2</v>
      </c>
      <c r="C8" s="64" t="s">
        <v>198</v>
      </c>
    </row>
    <row r="9" spans="1:4" x14ac:dyDescent="0.3">
      <c r="A9" s="65">
        <v>8900</v>
      </c>
      <c r="B9" s="67" t="s">
        <v>29</v>
      </c>
      <c r="C9" s="64" t="s">
        <v>198</v>
      </c>
    </row>
    <row r="10" spans="1:4" x14ac:dyDescent="0.3">
      <c r="A10" s="65">
        <v>11000</v>
      </c>
      <c r="B10" s="67" t="s">
        <v>17</v>
      </c>
      <c r="C10" s="64" t="s">
        <v>198</v>
      </c>
    </row>
    <row r="11" spans="1:4" x14ac:dyDescent="0.3">
      <c r="A11" s="65">
        <v>650</v>
      </c>
      <c r="B11" s="67" t="s">
        <v>71</v>
      </c>
      <c r="C11" s="64" t="s">
        <v>198</v>
      </c>
    </row>
    <row r="12" spans="1:4" x14ac:dyDescent="0.3">
      <c r="A12" s="65">
        <v>700</v>
      </c>
      <c r="B12" s="67" t="s">
        <v>238</v>
      </c>
      <c r="C12" s="64" t="s">
        <v>198</v>
      </c>
    </row>
    <row r="13" spans="1:4" x14ac:dyDescent="0.3">
      <c r="A13" s="65">
        <v>700</v>
      </c>
      <c r="B13" s="67" t="s">
        <v>250</v>
      </c>
      <c r="C13" s="64" t="s">
        <v>198</v>
      </c>
    </row>
    <row r="14" spans="1:4" x14ac:dyDescent="0.3">
      <c r="A14" s="65">
        <v>660</v>
      </c>
      <c r="B14" s="67" t="s">
        <v>251</v>
      </c>
      <c r="C14" s="64" t="s">
        <v>198</v>
      </c>
    </row>
    <row r="15" spans="1:4" x14ac:dyDescent="0.3">
      <c r="A15" s="65">
        <v>300</v>
      </c>
      <c r="B15" s="67" t="s">
        <v>203</v>
      </c>
      <c r="C15" s="64" t="s">
        <v>198</v>
      </c>
    </row>
    <row r="16" spans="1:4" x14ac:dyDescent="0.3">
      <c r="A16" s="71">
        <v>600</v>
      </c>
      <c r="B16" s="72" t="s">
        <v>1</v>
      </c>
      <c r="C16" s="73" t="s">
        <v>197</v>
      </c>
    </row>
    <row r="17" spans="1:4" x14ac:dyDescent="0.3">
      <c r="A17" s="71">
        <v>2000</v>
      </c>
      <c r="B17" s="72" t="s">
        <v>5</v>
      </c>
      <c r="C17" s="73" t="s">
        <v>197</v>
      </c>
      <c r="D17">
        <v>700</v>
      </c>
    </row>
    <row r="18" spans="1:4" x14ac:dyDescent="0.3">
      <c r="A18" s="71">
        <v>1500</v>
      </c>
      <c r="B18" s="72" t="s">
        <v>194</v>
      </c>
      <c r="C18" s="73" t="s">
        <v>197</v>
      </c>
    </row>
    <row r="19" spans="1:4" x14ac:dyDescent="0.3">
      <c r="A19" s="71">
        <v>6500</v>
      </c>
      <c r="B19" s="72" t="s">
        <v>13</v>
      </c>
      <c r="C19" s="73" t="s">
        <v>197</v>
      </c>
    </row>
    <row r="20" spans="1:4" x14ac:dyDescent="0.3">
      <c r="A20" s="71">
        <v>100</v>
      </c>
      <c r="B20" s="72" t="s">
        <v>9</v>
      </c>
      <c r="C20" s="73" t="s">
        <v>197</v>
      </c>
    </row>
    <row r="21" spans="1:4" x14ac:dyDescent="0.3">
      <c r="A21" s="71">
        <v>1700</v>
      </c>
      <c r="B21" s="72" t="s">
        <v>191</v>
      </c>
      <c r="C21" s="73" t="s">
        <v>197</v>
      </c>
    </row>
    <row r="22" spans="1:4" x14ac:dyDescent="0.3">
      <c r="A22" s="71">
        <v>500</v>
      </c>
      <c r="B22" s="72" t="s">
        <v>244</v>
      </c>
      <c r="C22" s="73" t="s">
        <v>197</v>
      </c>
    </row>
    <row r="23" spans="1:4" x14ac:dyDescent="0.3">
      <c r="A23" s="74">
        <v>5000</v>
      </c>
      <c r="B23" s="75" t="s">
        <v>256</v>
      </c>
      <c r="C23" s="76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C23"/>
    </sheetView>
  </sheetViews>
  <sheetFormatPr defaultRowHeight="14.4" x14ac:dyDescent="0.3"/>
  <cols>
    <col min="1" max="1" width="25.33203125" customWidth="1"/>
    <col min="2" max="2" width="48.44140625" customWidth="1"/>
    <col min="3" max="3" width="35.6640625" customWidth="1"/>
  </cols>
  <sheetData>
    <row r="1" spans="1:3" x14ac:dyDescent="0.3">
      <c r="A1" s="55" t="s">
        <v>252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500</v>
      </c>
      <c r="B3" s="70" t="s">
        <v>237</v>
      </c>
      <c r="C3" s="69" t="s">
        <v>199</v>
      </c>
    </row>
    <row r="4" spans="1:3" x14ac:dyDescent="0.3">
      <c r="A4" s="69">
        <v>700</v>
      </c>
      <c r="B4" s="70" t="s">
        <v>7</v>
      </c>
      <c r="C4" s="69" t="s">
        <v>199</v>
      </c>
    </row>
    <row r="5" spans="1:3" x14ac:dyDescent="0.3">
      <c r="A5" s="69">
        <v>100</v>
      </c>
      <c r="B5" s="70" t="s">
        <v>8</v>
      </c>
      <c r="C5" s="69" t="s">
        <v>199</v>
      </c>
    </row>
    <row r="6" spans="1:3" x14ac:dyDescent="0.3">
      <c r="A6" s="65">
        <v>5000</v>
      </c>
      <c r="B6" s="67" t="s">
        <v>2</v>
      </c>
      <c r="C6" s="64" t="s">
        <v>198</v>
      </c>
    </row>
    <row r="7" spans="1:3" x14ac:dyDescent="0.3">
      <c r="A7" s="65">
        <v>8900</v>
      </c>
      <c r="B7" s="67" t="s">
        <v>29</v>
      </c>
      <c r="C7" s="64" t="s">
        <v>198</v>
      </c>
    </row>
    <row r="8" spans="1:3" x14ac:dyDescent="0.3">
      <c r="A8" s="65">
        <v>10600</v>
      </c>
      <c r="B8" s="67" t="s">
        <v>17</v>
      </c>
      <c r="C8" s="64" t="s">
        <v>198</v>
      </c>
    </row>
    <row r="9" spans="1:3" x14ac:dyDescent="0.3">
      <c r="A9" s="65">
        <v>650</v>
      </c>
      <c r="B9" s="67" t="s">
        <v>71</v>
      </c>
      <c r="C9" s="64" t="s">
        <v>198</v>
      </c>
    </row>
    <row r="10" spans="1:3" x14ac:dyDescent="0.3">
      <c r="A10" s="65">
        <v>700</v>
      </c>
      <c r="B10" s="67" t="s">
        <v>238</v>
      </c>
      <c r="C10" s="64" t="s">
        <v>198</v>
      </c>
    </row>
    <row r="11" spans="1:3" x14ac:dyDescent="0.3">
      <c r="A11" s="65">
        <v>700</v>
      </c>
      <c r="B11" s="67" t="s">
        <v>250</v>
      </c>
      <c r="C11" s="64" t="s">
        <v>198</v>
      </c>
    </row>
    <row r="12" spans="1:3" x14ac:dyDescent="0.3">
      <c r="A12" s="65">
        <v>300</v>
      </c>
      <c r="B12" s="67" t="s">
        <v>203</v>
      </c>
      <c r="C12" s="64" t="s">
        <v>198</v>
      </c>
    </row>
    <row r="13" spans="1:3" x14ac:dyDescent="0.3">
      <c r="A13" s="71">
        <v>600</v>
      </c>
      <c r="B13" s="72" t="s">
        <v>1</v>
      </c>
      <c r="C13" s="73" t="s">
        <v>197</v>
      </c>
    </row>
    <row r="14" spans="1:3" x14ac:dyDescent="0.3">
      <c r="A14" s="71">
        <v>2000</v>
      </c>
      <c r="B14" s="72" t="s">
        <v>5</v>
      </c>
      <c r="C14" s="73" t="s">
        <v>197</v>
      </c>
    </row>
    <row r="15" spans="1:3" x14ac:dyDescent="0.3">
      <c r="A15" s="71">
        <v>1500</v>
      </c>
      <c r="B15" s="72" t="s">
        <v>194</v>
      </c>
      <c r="C15" s="73" t="s">
        <v>197</v>
      </c>
    </row>
    <row r="16" spans="1:3" x14ac:dyDescent="0.3">
      <c r="A16" s="71">
        <v>6500</v>
      </c>
      <c r="B16" s="72" t="s">
        <v>13</v>
      </c>
      <c r="C16" s="73" t="s">
        <v>197</v>
      </c>
    </row>
    <row r="17" spans="1:3" x14ac:dyDescent="0.3">
      <c r="A17" s="71">
        <v>100</v>
      </c>
      <c r="B17" s="72" t="s">
        <v>9</v>
      </c>
      <c r="C17" s="73" t="s">
        <v>197</v>
      </c>
    </row>
    <row r="18" spans="1:3" x14ac:dyDescent="0.3">
      <c r="A18" s="71">
        <v>1600</v>
      </c>
      <c r="B18" s="72" t="s">
        <v>191</v>
      </c>
      <c r="C18" s="73" t="s">
        <v>197</v>
      </c>
    </row>
    <row r="19" spans="1:3" x14ac:dyDescent="0.3">
      <c r="A19" s="71">
        <v>500</v>
      </c>
      <c r="B19" s="72" t="s">
        <v>244</v>
      </c>
      <c r="C19" s="73" t="s">
        <v>197</v>
      </c>
    </row>
    <row r="20" spans="1:3" x14ac:dyDescent="0.3">
      <c r="A20" s="71">
        <v>570</v>
      </c>
      <c r="B20" s="72" t="s">
        <v>257</v>
      </c>
      <c r="C20" s="73" t="s">
        <v>197</v>
      </c>
    </row>
    <row r="21" spans="1:3" x14ac:dyDescent="0.3">
      <c r="A21" s="77">
        <v>150</v>
      </c>
      <c r="B21" s="78" t="s">
        <v>258</v>
      </c>
      <c r="C21" s="76" t="s">
        <v>197</v>
      </c>
    </row>
    <row r="22" spans="1:3" x14ac:dyDescent="0.3">
      <c r="A22" s="61">
        <v>210</v>
      </c>
      <c r="B22" s="61" t="s">
        <v>259</v>
      </c>
      <c r="C22" s="76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C22"/>
    </sheetView>
  </sheetViews>
  <sheetFormatPr defaultRowHeight="14.4" x14ac:dyDescent="0.3"/>
  <cols>
    <col min="1" max="1" width="36.5546875" customWidth="1"/>
    <col min="2" max="2" width="48.88671875" customWidth="1"/>
    <col min="3" max="3" width="55.44140625" customWidth="1"/>
  </cols>
  <sheetData>
    <row r="1" spans="1:3" x14ac:dyDescent="0.3">
      <c r="A1" s="55" t="s">
        <v>260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500</v>
      </c>
      <c r="B3" s="70" t="s">
        <v>237</v>
      </c>
      <c r="C3" s="69" t="s">
        <v>199</v>
      </c>
    </row>
    <row r="4" spans="1:3" x14ac:dyDescent="0.3">
      <c r="A4" s="69">
        <v>700</v>
      </c>
      <c r="B4" s="70" t="s">
        <v>7</v>
      </c>
      <c r="C4" s="69" t="s">
        <v>199</v>
      </c>
    </row>
    <row r="5" spans="1:3" x14ac:dyDescent="0.3">
      <c r="A5" s="69">
        <v>100</v>
      </c>
      <c r="B5" s="70" t="s">
        <v>8</v>
      </c>
      <c r="C5" s="69" t="s">
        <v>199</v>
      </c>
    </row>
    <row r="6" spans="1:3" x14ac:dyDescent="0.3">
      <c r="A6" s="65">
        <v>5000</v>
      </c>
      <c r="B6" s="67" t="s">
        <v>2</v>
      </c>
      <c r="C6" s="64" t="s">
        <v>198</v>
      </c>
    </row>
    <row r="7" spans="1:3" x14ac:dyDescent="0.3">
      <c r="A7" s="65">
        <v>8900</v>
      </c>
      <c r="B7" s="67" t="s">
        <v>29</v>
      </c>
      <c r="C7" s="64" t="s">
        <v>198</v>
      </c>
    </row>
    <row r="8" spans="1:3" x14ac:dyDescent="0.3">
      <c r="A8" s="65">
        <v>10600</v>
      </c>
      <c r="B8" s="67" t="s">
        <v>17</v>
      </c>
      <c r="C8" s="64" t="s">
        <v>198</v>
      </c>
    </row>
    <row r="9" spans="1:3" x14ac:dyDescent="0.3">
      <c r="A9" s="65">
        <v>650</v>
      </c>
      <c r="B9" s="67" t="s">
        <v>71</v>
      </c>
      <c r="C9" s="64" t="s">
        <v>198</v>
      </c>
    </row>
    <row r="10" spans="1:3" x14ac:dyDescent="0.3">
      <c r="A10" s="65">
        <v>700</v>
      </c>
      <c r="B10" s="67" t="s">
        <v>238</v>
      </c>
      <c r="C10" s="64" t="s">
        <v>198</v>
      </c>
    </row>
    <row r="11" spans="1:3" x14ac:dyDescent="0.3">
      <c r="A11" s="65">
        <v>700</v>
      </c>
      <c r="B11" s="67" t="s">
        <v>250</v>
      </c>
      <c r="C11" s="64" t="s">
        <v>198</v>
      </c>
    </row>
    <row r="12" spans="1:3" x14ac:dyDescent="0.3">
      <c r="A12" s="65">
        <v>300</v>
      </c>
      <c r="B12" s="67" t="s">
        <v>203</v>
      </c>
      <c r="C12" s="64" t="s">
        <v>198</v>
      </c>
    </row>
    <row r="13" spans="1:3" x14ac:dyDescent="0.3">
      <c r="A13" s="71">
        <v>600</v>
      </c>
      <c r="B13" s="72" t="s">
        <v>1</v>
      </c>
      <c r="C13" s="73" t="s">
        <v>197</v>
      </c>
    </row>
    <row r="14" spans="1:3" x14ac:dyDescent="0.3">
      <c r="A14" s="71">
        <v>2000</v>
      </c>
      <c r="B14" s="72" t="s">
        <v>5</v>
      </c>
      <c r="C14" s="73" t="s">
        <v>197</v>
      </c>
    </row>
    <row r="15" spans="1:3" x14ac:dyDescent="0.3">
      <c r="A15" s="71">
        <v>1500</v>
      </c>
      <c r="B15" s="72" t="s">
        <v>194</v>
      </c>
      <c r="C15" s="73" t="s">
        <v>197</v>
      </c>
    </row>
    <row r="16" spans="1:3" x14ac:dyDescent="0.3">
      <c r="A16" s="71">
        <v>6500</v>
      </c>
      <c r="B16" s="72" t="s">
        <v>13</v>
      </c>
      <c r="C16" s="73" t="s">
        <v>197</v>
      </c>
    </row>
    <row r="17" spans="1:3" x14ac:dyDescent="0.3">
      <c r="A17" s="71">
        <v>100</v>
      </c>
      <c r="B17" s="72" t="s">
        <v>9</v>
      </c>
      <c r="C17" s="73" t="s">
        <v>197</v>
      </c>
    </row>
    <row r="18" spans="1:3" x14ac:dyDescent="0.3">
      <c r="A18" s="71">
        <v>1600</v>
      </c>
      <c r="B18" s="72" t="s">
        <v>191</v>
      </c>
      <c r="C18" s="73" t="s">
        <v>197</v>
      </c>
    </row>
    <row r="19" spans="1:3" x14ac:dyDescent="0.3">
      <c r="A19" s="71">
        <v>550</v>
      </c>
      <c r="B19" s="72" t="s">
        <v>244</v>
      </c>
      <c r="C19" s="73" t="s">
        <v>197</v>
      </c>
    </row>
    <row r="20" spans="1:3" x14ac:dyDescent="0.3">
      <c r="A20" s="71">
        <v>570</v>
      </c>
      <c r="B20" s="72" t="s">
        <v>257</v>
      </c>
      <c r="C20" s="73" t="s">
        <v>197</v>
      </c>
    </row>
    <row r="21" spans="1:3" x14ac:dyDescent="0.3">
      <c r="A21" s="71">
        <v>100</v>
      </c>
      <c r="B21" s="72" t="s">
        <v>258</v>
      </c>
      <c r="C21" s="73" t="s">
        <v>197</v>
      </c>
    </row>
    <row r="22" spans="1:3" x14ac:dyDescent="0.3">
      <c r="A22" s="73">
        <v>210</v>
      </c>
      <c r="B22" s="73" t="s">
        <v>259</v>
      </c>
      <c r="C22" s="73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C22"/>
    </sheetView>
  </sheetViews>
  <sheetFormatPr defaultRowHeight="14.4" x14ac:dyDescent="0.3"/>
  <cols>
    <col min="1" max="1" width="32.33203125" customWidth="1"/>
    <col min="2" max="2" width="44" customWidth="1"/>
    <col min="3" max="3" width="40.109375" customWidth="1"/>
  </cols>
  <sheetData>
    <row r="1" spans="1:3" x14ac:dyDescent="0.3">
      <c r="A1" s="55" t="s">
        <v>261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500</v>
      </c>
      <c r="B3" s="70" t="s">
        <v>237</v>
      </c>
      <c r="C3" s="69" t="s">
        <v>199</v>
      </c>
    </row>
    <row r="4" spans="1:3" x14ac:dyDescent="0.3">
      <c r="A4" s="69">
        <v>700</v>
      </c>
      <c r="B4" s="70" t="s">
        <v>7</v>
      </c>
      <c r="C4" s="69" t="s">
        <v>199</v>
      </c>
    </row>
    <row r="5" spans="1:3" x14ac:dyDescent="0.3">
      <c r="A5" s="69">
        <v>100</v>
      </c>
      <c r="B5" s="70" t="s">
        <v>8</v>
      </c>
      <c r="C5" s="69" t="s">
        <v>199</v>
      </c>
    </row>
    <row r="6" spans="1:3" x14ac:dyDescent="0.3">
      <c r="A6" s="65">
        <v>5000</v>
      </c>
      <c r="B6" s="67" t="s">
        <v>2</v>
      </c>
      <c r="C6" s="64" t="s">
        <v>198</v>
      </c>
    </row>
    <row r="7" spans="1:3" x14ac:dyDescent="0.3">
      <c r="A7" s="65">
        <v>8900</v>
      </c>
      <c r="B7" s="67" t="s">
        <v>29</v>
      </c>
      <c r="C7" s="64" t="s">
        <v>198</v>
      </c>
    </row>
    <row r="8" spans="1:3" x14ac:dyDescent="0.3">
      <c r="A8" s="65">
        <v>10800</v>
      </c>
      <c r="B8" s="67" t="s">
        <v>17</v>
      </c>
      <c r="C8" s="64" t="s">
        <v>198</v>
      </c>
    </row>
    <row r="9" spans="1:3" x14ac:dyDescent="0.3">
      <c r="A9" s="65">
        <v>650</v>
      </c>
      <c r="B9" s="67" t="s">
        <v>71</v>
      </c>
      <c r="C9" s="64" t="s">
        <v>198</v>
      </c>
    </row>
    <row r="10" spans="1:3" x14ac:dyDescent="0.3">
      <c r="A10" s="65">
        <v>700</v>
      </c>
      <c r="B10" s="67" t="s">
        <v>238</v>
      </c>
      <c r="C10" s="64" t="s">
        <v>198</v>
      </c>
    </row>
    <row r="11" spans="1:3" x14ac:dyDescent="0.3">
      <c r="A11" s="65">
        <v>700</v>
      </c>
      <c r="B11" s="67" t="s">
        <v>250</v>
      </c>
      <c r="C11" s="64" t="s">
        <v>198</v>
      </c>
    </row>
    <row r="12" spans="1:3" x14ac:dyDescent="0.3">
      <c r="A12" s="65">
        <v>300</v>
      </c>
      <c r="B12" s="67" t="s">
        <v>203</v>
      </c>
      <c r="C12" s="64" t="s">
        <v>198</v>
      </c>
    </row>
    <row r="13" spans="1:3" x14ac:dyDescent="0.3">
      <c r="A13" s="71">
        <v>600</v>
      </c>
      <c r="B13" s="72" t="s">
        <v>1</v>
      </c>
      <c r="C13" s="73" t="s">
        <v>197</v>
      </c>
    </row>
    <row r="14" spans="1:3" x14ac:dyDescent="0.3">
      <c r="A14" s="71">
        <v>2000</v>
      </c>
      <c r="B14" s="72" t="s">
        <v>5</v>
      </c>
      <c r="C14" s="73" t="s">
        <v>197</v>
      </c>
    </row>
    <row r="15" spans="1:3" x14ac:dyDescent="0.3">
      <c r="A15" s="71">
        <v>1500</v>
      </c>
      <c r="B15" s="72" t="s">
        <v>194</v>
      </c>
      <c r="C15" s="73" t="s">
        <v>197</v>
      </c>
    </row>
    <row r="16" spans="1:3" x14ac:dyDescent="0.3">
      <c r="A16" s="71">
        <v>6500</v>
      </c>
      <c r="B16" s="72" t="s">
        <v>13</v>
      </c>
      <c r="C16" s="73" t="s">
        <v>197</v>
      </c>
    </row>
    <row r="17" spans="1:3" x14ac:dyDescent="0.3">
      <c r="A17" s="71">
        <v>100</v>
      </c>
      <c r="B17" s="72" t="s">
        <v>9</v>
      </c>
      <c r="C17" s="73" t="s">
        <v>197</v>
      </c>
    </row>
    <row r="18" spans="1:3" x14ac:dyDescent="0.3">
      <c r="A18" s="71">
        <v>1600</v>
      </c>
      <c r="B18" s="72" t="s">
        <v>191</v>
      </c>
      <c r="C18" s="73" t="s">
        <v>197</v>
      </c>
    </row>
    <row r="19" spans="1:3" x14ac:dyDescent="0.3">
      <c r="A19" s="71">
        <v>550</v>
      </c>
      <c r="B19" s="72" t="s">
        <v>244</v>
      </c>
      <c r="C19" s="73" t="s">
        <v>197</v>
      </c>
    </row>
    <row r="20" spans="1:3" x14ac:dyDescent="0.3">
      <c r="A20" s="71">
        <v>570</v>
      </c>
      <c r="B20" s="72" t="s">
        <v>257</v>
      </c>
      <c r="C20" s="73" t="s">
        <v>197</v>
      </c>
    </row>
    <row r="21" spans="1:3" x14ac:dyDescent="0.3">
      <c r="A21" s="71">
        <v>100</v>
      </c>
      <c r="B21" s="72" t="s">
        <v>258</v>
      </c>
      <c r="C21" s="73" t="s">
        <v>197</v>
      </c>
    </row>
    <row r="22" spans="1:3" x14ac:dyDescent="0.3">
      <c r="A22" s="73">
        <v>210</v>
      </c>
      <c r="B22" s="73" t="s">
        <v>259</v>
      </c>
      <c r="C22" s="73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10" workbookViewId="0">
      <selection sqref="A1:C24"/>
    </sheetView>
  </sheetViews>
  <sheetFormatPr defaultRowHeight="14.4" x14ac:dyDescent="0.3"/>
  <cols>
    <col min="1" max="1" width="29.109375" customWidth="1"/>
    <col min="2" max="2" width="28.33203125" customWidth="1"/>
    <col min="3" max="3" width="32.109375" customWidth="1"/>
  </cols>
  <sheetData>
    <row r="1" spans="1:3" x14ac:dyDescent="0.3">
      <c r="A1" s="55" t="s">
        <v>261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500</v>
      </c>
      <c r="B3" s="70" t="s">
        <v>237</v>
      </c>
      <c r="C3" s="69" t="s">
        <v>199</v>
      </c>
    </row>
    <row r="4" spans="1:3" x14ac:dyDescent="0.3">
      <c r="A4" s="69">
        <v>1500</v>
      </c>
      <c r="B4" s="70" t="s">
        <v>7</v>
      </c>
      <c r="C4" s="69" t="s">
        <v>199</v>
      </c>
    </row>
    <row r="5" spans="1:3" x14ac:dyDescent="0.3">
      <c r="A5" s="69">
        <v>100</v>
      </c>
      <c r="B5" s="70" t="s">
        <v>8</v>
      </c>
      <c r="C5" s="69" t="s">
        <v>199</v>
      </c>
    </row>
    <row r="6" spans="1:3" x14ac:dyDescent="0.3">
      <c r="A6" s="65">
        <v>5000</v>
      </c>
      <c r="B6" s="67" t="s">
        <v>2</v>
      </c>
      <c r="C6" s="64" t="s">
        <v>198</v>
      </c>
    </row>
    <row r="7" spans="1:3" x14ac:dyDescent="0.3">
      <c r="A7" s="65">
        <v>8900</v>
      </c>
      <c r="B7" s="67" t="s">
        <v>29</v>
      </c>
      <c r="C7" s="64" t="s">
        <v>198</v>
      </c>
    </row>
    <row r="8" spans="1:3" x14ac:dyDescent="0.3">
      <c r="A8" s="65">
        <v>10800</v>
      </c>
      <c r="B8" s="67" t="s">
        <v>17</v>
      </c>
      <c r="C8" s="64" t="s">
        <v>198</v>
      </c>
    </row>
    <row r="9" spans="1:3" x14ac:dyDescent="0.3">
      <c r="A9" s="65">
        <v>650</v>
      </c>
      <c r="B9" s="67" t="s">
        <v>71</v>
      </c>
      <c r="C9" s="64" t="s">
        <v>198</v>
      </c>
    </row>
    <row r="10" spans="1:3" x14ac:dyDescent="0.3">
      <c r="A10" s="65">
        <v>700</v>
      </c>
      <c r="B10" s="67" t="s">
        <v>238</v>
      </c>
      <c r="C10" s="64" t="s">
        <v>198</v>
      </c>
    </row>
    <row r="11" spans="1:3" x14ac:dyDescent="0.3">
      <c r="A11" s="65">
        <v>700</v>
      </c>
      <c r="B11" s="67" t="s">
        <v>250</v>
      </c>
      <c r="C11" s="64" t="s">
        <v>198</v>
      </c>
    </row>
    <row r="12" spans="1:3" x14ac:dyDescent="0.3">
      <c r="A12" s="65">
        <v>300</v>
      </c>
      <c r="B12" s="67" t="s">
        <v>203</v>
      </c>
      <c r="C12" s="64" t="s">
        <v>198</v>
      </c>
    </row>
    <row r="13" spans="1:3" x14ac:dyDescent="0.3">
      <c r="A13" s="71">
        <v>600</v>
      </c>
      <c r="B13" s="72" t="s">
        <v>1</v>
      </c>
      <c r="C13" s="73" t="s">
        <v>197</v>
      </c>
    </row>
    <row r="14" spans="1:3" x14ac:dyDescent="0.3">
      <c r="A14" s="71">
        <v>2000</v>
      </c>
      <c r="B14" s="72" t="s">
        <v>5</v>
      </c>
      <c r="C14" s="73" t="s">
        <v>197</v>
      </c>
    </row>
    <row r="15" spans="1:3" x14ac:dyDescent="0.3">
      <c r="A15" s="71">
        <v>1500</v>
      </c>
      <c r="B15" s="72" t="s">
        <v>194</v>
      </c>
      <c r="C15" s="73" t="s">
        <v>197</v>
      </c>
    </row>
    <row r="16" spans="1:3" x14ac:dyDescent="0.3">
      <c r="A16" s="71">
        <v>6500</v>
      </c>
      <c r="B16" s="72" t="s">
        <v>13</v>
      </c>
      <c r="C16" s="73" t="s">
        <v>197</v>
      </c>
    </row>
    <row r="17" spans="1:3" x14ac:dyDescent="0.3">
      <c r="A17" s="71">
        <v>100</v>
      </c>
      <c r="B17" s="72" t="s">
        <v>9</v>
      </c>
      <c r="C17" s="73" t="s">
        <v>197</v>
      </c>
    </row>
    <row r="18" spans="1:3" x14ac:dyDescent="0.3">
      <c r="A18" s="71">
        <v>1600</v>
      </c>
      <c r="B18" s="72" t="s">
        <v>191</v>
      </c>
      <c r="C18" s="73" t="s">
        <v>197</v>
      </c>
    </row>
    <row r="19" spans="1:3" x14ac:dyDescent="0.3">
      <c r="A19" s="71">
        <v>550</v>
      </c>
      <c r="B19" s="72" t="s">
        <v>244</v>
      </c>
      <c r="C19" s="73" t="s">
        <v>197</v>
      </c>
    </row>
    <row r="20" spans="1:3" x14ac:dyDescent="0.3">
      <c r="A20" s="71">
        <v>570</v>
      </c>
      <c r="B20" s="72" t="s">
        <v>257</v>
      </c>
      <c r="C20" s="73" t="s">
        <v>197</v>
      </c>
    </row>
    <row r="21" spans="1:3" x14ac:dyDescent="0.3">
      <c r="A21" s="71">
        <v>100</v>
      </c>
      <c r="B21" s="72" t="s">
        <v>258</v>
      </c>
      <c r="C21" s="73" t="s">
        <v>197</v>
      </c>
    </row>
    <row r="22" spans="1:3" x14ac:dyDescent="0.3">
      <c r="A22" s="73">
        <v>210</v>
      </c>
      <c r="B22" s="73" t="s">
        <v>259</v>
      </c>
      <c r="C22" s="73" t="s">
        <v>197</v>
      </c>
    </row>
    <row r="23" spans="1:3" x14ac:dyDescent="0.3">
      <c r="A23" s="73">
        <v>1000</v>
      </c>
      <c r="B23" s="73" t="s">
        <v>262</v>
      </c>
      <c r="C23" s="73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opLeftCell="A5" workbookViewId="0">
      <selection sqref="A1:C25"/>
    </sheetView>
  </sheetViews>
  <sheetFormatPr defaultRowHeight="14.4" x14ac:dyDescent="0.3"/>
  <cols>
    <col min="1" max="1" width="46.33203125" customWidth="1"/>
    <col min="2" max="2" width="37.33203125" customWidth="1"/>
    <col min="3" max="3" width="35.109375" customWidth="1"/>
  </cols>
  <sheetData>
    <row r="1" spans="1:3" x14ac:dyDescent="0.3">
      <c r="A1" s="55" t="s">
        <v>265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500</v>
      </c>
      <c r="B3" s="70" t="s">
        <v>237</v>
      </c>
      <c r="C3" s="69" t="s">
        <v>199</v>
      </c>
    </row>
    <row r="4" spans="1:3" x14ac:dyDescent="0.3">
      <c r="A4" s="69">
        <v>1000</v>
      </c>
      <c r="B4" s="70" t="s">
        <v>263</v>
      </c>
      <c r="C4" s="69"/>
    </row>
    <row r="5" spans="1:3" x14ac:dyDescent="0.3">
      <c r="A5" s="69">
        <v>1500</v>
      </c>
      <c r="B5" s="70" t="s">
        <v>7</v>
      </c>
      <c r="C5" s="69" t="s">
        <v>199</v>
      </c>
    </row>
    <row r="6" spans="1:3" x14ac:dyDescent="0.3">
      <c r="A6" s="69">
        <v>100</v>
      </c>
      <c r="B6" s="70" t="s">
        <v>8</v>
      </c>
      <c r="C6" s="69" t="s">
        <v>199</v>
      </c>
    </row>
    <row r="7" spans="1:3" x14ac:dyDescent="0.3">
      <c r="A7" s="79">
        <v>5000</v>
      </c>
      <c r="B7" s="80" t="s">
        <v>2</v>
      </c>
      <c r="C7" s="81" t="s">
        <v>198</v>
      </c>
    </row>
    <row r="8" spans="1:3" x14ac:dyDescent="0.3">
      <c r="A8" s="79">
        <v>8900</v>
      </c>
      <c r="B8" s="80" t="s">
        <v>29</v>
      </c>
      <c r="C8" s="81" t="s">
        <v>198</v>
      </c>
    </row>
    <row r="9" spans="1:3" x14ac:dyDescent="0.3">
      <c r="A9" s="79">
        <v>10800</v>
      </c>
      <c r="B9" s="80" t="s">
        <v>17</v>
      </c>
      <c r="C9" s="81" t="s">
        <v>198</v>
      </c>
    </row>
    <row r="10" spans="1:3" x14ac:dyDescent="0.3">
      <c r="A10" s="79">
        <v>650</v>
      </c>
      <c r="B10" s="80" t="s">
        <v>71</v>
      </c>
      <c r="C10" s="81" t="s">
        <v>198</v>
      </c>
    </row>
    <row r="11" spans="1:3" x14ac:dyDescent="0.3">
      <c r="A11" s="79">
        <v>700</v>
      </c>
      <c r="B11" s="80" t="s">
        <v>238</v>
      </c>
      <c r="C11" s="81" t="s">
        <v>198</v>
      </c>
    </row>
    <row r="12" spans="1:3" x14ac:dyDescent="0.3">
      <c r="A12" s="79">
        <v>700</v>
      </c>
      <c r="B12" s="80" t="s">
        <v>250</v>
      </c>
      <c r="C12" s="81" t="s">
        <v>198</v>
      </c>
    </row>
    <row r="13" spans="1:3" x14ac:dyDescent="0.3">
      <c r="A13" s="79">
        <v>300</v>
      </c>
      <c r="B13" s="80" t="s">
        <v>203</v>
      </c>
      <c r="C13" s="81" t="s">
        <v>198</v>
      </c>
    </row>
    <row r="14" spans="1:3" x14ac:dyDescent="0.3">
      <c r="A14" s="82">
        <v>600</v>
      </c>
      <c r="B14" s="83" t="s">
        <v>1</v>
      </c>
      <c r="C14" s="84" t="s">
        <v>198</v>
      </c>
    </row>
    <row r="15" spans="1:3" x14ac:dyDescent="0.3">
      <c r="A15" s="82">
        <v>1600</v>
      </c>
      <c r="B15" s="83" t="s">
        <v>191</v>
      </c>
      <c r="C15" s="84" t="s">
        <v>198</v>
      </c>
    </row>
    <row r="16" spans="1:3" x14ac:dyDescent="0.3">
      <c r="A16" s="82">
        <v>550</v>
      </c>
      <c r="B16" s="83" t="s">
        <v>244</v>
      </c>
      <c r="C16" s="84" t="s">
        <v>198</v>
      </c>
    </row>
    <row r="17" spans="1:3" s="88" customFormat="1" x14ac:dyDescent="0.3">
      <c r="A17" s="85">
        <v>5000</v>
      </c>
      <c r="B17" s="86" t="s">
        <v>264</v>
      </c>
      <c r="C17" s="87" t="s">
        <v>198</v>
      </c>
    </row>
    <row r="18" spans="1:3" x14ac:dyDescent="0.3">
      <c r="A18" s="84">
        <v>210</v>
      </c>
      <c r="B18" s="84" t="s">
        <v>259</v>
      </c>
      <c r="C18" s="84" t="s">
        <v>198</v>
      </c>
    </row>
    <row r="19" spans="1:3" x14ac:dyDescent="0.3">
      <c r="A19" s="71">
        <v>100</v>
      </c>
      <c r="B19" s="72" t="s">
        <v>258</v>
      </c>
      <c r="C19" s="73" t="s">
        <v>197</v>
      </c>
    </row>
    <row r="20" spans="1:3" x14ac:dyDescent="0.3">
      <c r="A20" s="71">
        <v>570</v>
      </c>
      <c r="B20" s="72" t="s">
        <v>257</v>
      </c>
      <c r="C20" s="73" t="s">
        <v>197</v>
      </c>
    </row>
    <row r="21" spans="1:3" x14ac:dyDescent="0.3">
      <c r="A21" s="73">
        <v>650</v>
      </c>
      <c r="B21" s="73" t="s">
        <v>262</v>
      </c>
      <c r="C21" s="73" t="s">
        <v>197</v>
      </c>
    </row>
    <row r="22" spans="1:3" x14ac:dyDescent="0.3">
      <c r="A22" s="71">
        <v>2000</v>
      </c>
      <c r="B22" s="72" t="s">
        <v>5</v>
      </c>
      <c r="C22" s="73" t="s">
        <v>197</v>
      </c>
    </row>
    <row r="23" spans="1:3" x14ac:dyDescent="0.3">
      <c r="A23" s="71">
        <v>1500</v>
      </c>
      <c r="B23" s="72" t="s">
        <v>194</v>
      </c>
      <c r="C23" s="73" t="s">
        <v>197</v>
      </c>
    </row>
    <row r="24" spans="1:3" x14ac:dyDescent="0.3">
      <c r="A24" s="71">
        <v>6500</v>
      </c>
      <c r="B24" s="72" t="s">
        <v>13</v>
      </c>
      <c r="C24" s="73" t="s">
        <v>197</v>
      </c>
    </row>
    <row r="25" spans="1:3" x14ac:dyDescent="0.3">
      <c r="A25" s="71">
        <v>100</v>
      </c>
      <c r="B25" s="72" t="s">
        <v>9</v>
      </c>
      <c r="C25" s="73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zoomScale="80" zoomScaleNormal="80" workbookViewId="0">
      <selection sqref="A1:C23"/>
    </sheetView>
  </sheetViews>
  <sheetFormatPr defaultRowHeight="14.4" x14ac:dyDescent="0.3"/>
  <cols>
    <col min="1" max="1" width="34.109375" customWidth="1"/>
    <col min="2" max="2" width="40.5546875" customWidth="1"/>
    <col min="3" max="3" width="38.88671875" customWidth="1"/>
  </cols>
  <sheetData>
    <row r="1" spans="1:3" x14ac:dyDescent="0.3">
      <c r="A1" s="55" t="s">
        <v>265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500</v>
      </c>
      <c r="B3" s="70" t="s">
        <v>237</v>
      </c>
      <c r="C3" s="69" t="s">
        <v>199</v>
      </c>
    </row>
    <row r="4" spans="1:3" x14ac:dyDescent="0.3">
      <c r="A4" s="69">
        <v>1500</v>
      </c>
      <c r="B4" s="70" t="s">
        <v>7</v>
      </c>
      <c r="C4" s="69" t="s">
        <v>199</v>
      </c>
    </row>
    <row r="5" spans="1:3" x14ac:dyDescent="0.3">
      <c r="A5" s="69">
        <v>100</v>
      </c>
      <c r="B5" s="70" t="s">
        <v>8</v>
      </c>
      <c r="C5" s="69" t="s">
        <v>199</v>
      </c>
    </row>
    <row r="6" spans="1:3" x14ac:dyDescent="0.3">
      <c r="A6" s="79">
        <v>5000</v>
      </c>
      <c r="B6" s="80" t="s">
        <v>2</v>
      </c>
      <c r="C6" s="81" t="s">
        <v>198</v>
      </c>
    </row>
    <row r="7" spans="1:3" x14ac:dyDescent="0.3">
      <c r="A7" s="79">
        <v>8900</v>
      </c>
      <c r="B7" s="80" t="s">
        <v>29</v>
      </c>
      <c r="C7" s="81" t="s">
        <v>198</v>
      </c>
    </row>
    <row r="8" spans="1:3" x14ac:dyDescent="0.3">
      <c r="A8" s="79">
        <v>10800</v>
      </c>
      <c r="B8" s="80" t="s">
        <v>17</v>
      </c>
      <c r="C8" s="81" t="s">
        <v>198</v>
      </c>
    </row>
    <row r="9" spans="1:3" x14ac:dyDescent="0.3">
      <c r="A9" s="79">
        <v>650</v>
      </c>
      <c r="B9" s="80" t="s">
        <v>71</v>
      </c>
      <c r="C9" s="81" t="s">
        <v>198</v>
      </c>
    </row>
    <row r="10" spans="1:3" x14ac:dyDescent="0.3">
      <c r="A10" s="79">
        <v>700</v>
      </c>
      <c r="B10" s="80" t="s">
        <v>238</v>
      </c>
      <c r="C10" s="81" t="s">
        <v>198</v>
      </c>
    </row>
    <row r="11" spans="1:3" x14ac:dyDescent="0.3">
      <c r="A11" s="79">
        <v>700</v>
      </c>
      <c r="B11" s="80" t="s">
        <v>250</v>
      </c>
      <c r="C11" s="81" t="s">
        <v>198</v>
      </c>
    </row>
    <row r="12" spans="1:3" x14ac:dyDescent="0.3">
      <c r="A12" s="79">
        <v>300</v>
      </c>
      <c r="B12" s="80" t="s">
        <v>203</v>
      </c>
      <c r="C12" s="81" t="s">
        <v>198</v>
      </c>
    </row>
    <row r="13" spans="1:3" x14ac:dyDescent="0.3">
      <c r="A13" s="89">
        <v>600</v>
      </c>
      <c r="B13" s="90" t="s">
        <v>1</v>
      </c>
      <c r="C13" s="91" t="s">
        <v>198</v>
      </c>
    </row>
    <row r="14" spans="1:3" x14ac:dyDescent="0.3">
      <c r="A14" s="89">
        <v>1900</v>
      </c>
      <c r="B14" s="90" t="s">
        <v>191</v>
      </c>
      <c r="C14" s="91" t="s">
        <v>198</v>
      </c>
    </row>
    <row r="15" spans="1:3" x14ac:dyDescent="0.3">
      <c r="A15" s="89">
        <v>550</v>
      </c>
      <c r="B15" s="90" t="s">
        <v>244</v>
      </c>
      <c r="C15" s="91" t="s">
        <v>198</v>
      </c>
    </row>
    <row r="16" spans="1:3" x14ac:dyDescent="0.3">
      <c r="A16" s="91">
        <v>210</v>
      </c>
      <c r="B16" s="91" t="s">
        <v>259</v>
      </c>
      <c r="C16" s="91" t="s">
        <v>198</v>
      </c>
    </row>
    <row r="17" spans="1:4" x14ac:dyDescent="0.3">
      <c r="A17" s="91">
        <v>650</v>
      </c>
      <c r="B17" s="91" t="s">
        <v>262</v>
      </c>
      <c r="C17" s="91" t="s">
        <v>198</v>
      </c>
    </row>
    <row r="18" spans="1:4" x14ac:dyDescent="0.3">
      <c r="A18" s="71">
        <v>100</v>
      </c>
      <c r="B18" s="72" t="s">
        <v>258</v>
      </c>
      <c r="C18" s="73" t="s">
        <v>197</v>
      </c>
      <c r="D18" s="197">
        <v>16000</v>
      </c>
    </row>
    <row r="19" spans="1:4" x14ac:dyDescent="0.3">
      <c r="A19" s="71">
        <v>570</v>
      </c>
      <c r="B19" s="72" t="s">
        <v>257</v>
      </c>
      <c r="C19" s="73" t="s">
        <v>197</v>
      </c>
      <c r="D19" s="197"/>
    </row>
    <row r="20" spans="1:4" x14ac:dyDescent="0.3">
      <c r="A20" s="71">
        <v>2000</v>
      </c>
      <c r="B20" s="72" t="s">
        <v>5</v>
      </c>
      <c r="C20" s="73" t="s">
        <v>197</v>
      </c>
      <c r="D20" s="197"/>
    </row>
    <row r="21" spans="1:4" x14ac:dyDescent="0.3">
      <c r="A21" s="71">
        <v>1500</v>
      </c>
      <c r="B21" s="72" t="s">
        <v>194</v>
      </c>
      <c r="C21" s="73" t="s">
        <v>197</v>
      </c>
      <c r="D21" s="197"/>
    </row>
    <row r="22" spans="1:4" x14ac:dyDescent="0.3">
      <c r="A22" s="71">
        <v>6500</v>
      </c>
      <c r="B22" s="72" t="s">
        <v>13</v>
      </c>
      <c r="C22" s="73" t="s">
        <v>197</v>
      </c>
      <c r="D22" s="197"/>
    </row>
    <row r="23" spans="1:4" x14ac:dyDescent="0.3">
      <c r="A23" s="71">
        <v>100</v>
      </c>
      <c r="B23" s="72" t="s">
        <v>9</v>
      </c>
      <c r="C23" s="73" t="s">
        <v>197</v>
      </c>
      <c r="D23" s="197"/>
    </row>
  </sheetData>
  <mergeCells count="1">
    <mergeCell ref="D18:D23"/>
  </mergeCells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5" workbookViewId="0">
      <selection sqref="A1:C24"/>
    </sheetView>
  </sheetViews>
  <sheetFormatPr defaultRowHeight="14.4" x14ac:dyDescent="0.3"/>
  <cols>
    <col min="1" max="1" width="27.33203125" customWidth="1"/>
    <col min="2" max="2" width="49.5546875" customWidth="1"/>
    <col min="3" max="3" width="46.6640625" customWidth="1"/>
  </cols>
  <sheetData>
    <row r="1" spans="1:3" x14ac:dyDescent="0.3">
      <c r="A1" s="55" t="s">
        <v>265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1000</v>
      </c>
      <c r="B3" s="70" t="s">
        <v>237</v>
      </c>
      <c r="C3" s="69" t="s">
        <v>199</v>
      </c>
    </row>
    <row r="4" spans="1:3" x14ac:dyDescent="0.3">
      <c r="A4" s="69">
        <v>1500</v>
      </c>
      <c r="B4" s="70" t="s">
        <v>7</v>
      </c>
      <c r="C4" s="69" t="s">
        <v>199</v>
      </c>
    </row>
    <row r="5" spans="1:3" x14ac:dyDescent="0.3">
      <c r="A5" s="69">
        <v>100</v>
      </c>
      <c r="B5" s="70" t="s">
        <v>8</v>
      </c>
      <c r="C5" s="69" t="s">
        <v>199</v>
      </c>
    </row>
    <row r="6" spans="1:3" x14ac:dyDescent="0.3">
      <c r="A6" s="79">
        <v>5000</v>
      </c>
      <c r="B6" s="80" t="s">
        <v>2</v>
      </c>
      <c r="C6" s="81" t="s">
        <v>198</v>
      </c>
    </row>
    <row r="7" spans="1:3" x14ac:dyDescent="0.3">
      <c r="A7" s="79">
        <v>8900</v>
      </c>
      <c r="B7" s="80" t="s">
        <v>29</v>
      </c>
      <c r="C7" s="81" t="s">
        <v>198</v>
      </c>
    </row>
    <row r="8" spans="1:3" x14ac:dyDescent="0.3">
      <c r="A8" s="79">
        <v>10800</v>
      </c>
      <c r="B8" s="80" t="s">
        <v>17</v>
      </c>
      <c r="C8" s="81" t="s">
        <v>198</v>
      </c>
    </row>
    <row r="9" spans="1:3" x14ac:dyDescent="0.3">
      <c r="A9" s="79">
        <v>650</v>
      </c>
      <c r="B9" s="80" t="s">
        <v>71</v>
      </c>
      <c r="C9" s="81" t="s">
        <v>198</v>
      </c>
    </row>
    <row r="10" spans="1:3" x14ac:dyDescent="0.3">
      <c r="A10" s="79">
        <v>700</v>
      </c>
      <c r="B10" s="80" t="s">
        <v>238</v>
      </c>
      <c r="C10" s="81" t="s">
        <v>198</v>
      </c>
    </row>
    <row r="11" spans="1:3" x14ac:dyDescent="0.3">
      <c r="A11" s="79">
        <v>700</v>
      </c>
      <c r="B11" s="80" t="s">
        <v>250</v>
      </c>
      <c r="C11" s="81" t="s">
        <v>198</v>
      </c>
    </row>
    <row r="12" spans="1:3" x14ac:dyDescent="0.3">
      <c r="A12" s="79">
        <v>300</v>
      </c>
      <c r="B12" s="80" t="s">
        <v>203</v>
      </c>
      <c r="C12" s="81" t="s">
        <v>198</v>
      </c>
    </row>
    <row r="13" spans="1:3" x14ac:dyDescent="0.3">
      <c r="A13" s="89">
        <v>600</v>
      </c>
      <c r="B13" s="90" t="s">
        <v>1</v>
      </c>
      <c r="C13" s="91" t="s">
        <v>198</v>
      </c>
    </row>
    <row r="14" spans="1:3" x14ac:dyDescent="0.3">
      <c r="A14" s="89">
        <v>1700</v>
      </c>
      <c r="B14" s="90" t="s">
        <v>191</v>
      </c>
      <c r="C14" s="91" t="s">
        <v>198</v>
      </c>
    </row>
    <row r="15" spans="1:3" x14ac:dyDescent="0.3">
      <c r="A15" s="89">
        <v>550</v>
      </c>
      <c r="B15" s="90" t="s">
        <v>244</v>
      </c>
      <c r="C15" s="91" t="s">
        <v>198</v>
      </c>
    </row>
    <row r="16" spans="1:3" x14ac:dyDescent="0.3">
      <c r="A16" s="91">
        <v>210</v>
      </c>
      <c r="B16" s="91" t="s">
        <v>259</v>
      </c>
      <c r="C16" s="91" t="s">
        <v>198</v>
      </c>
    </row>
    <row r="17" spans="1:3" x14ac:dyDescent="0.3">
      <c r="A17" s="91">
        <v>650</v>
      </c>
      <c r="B17" s="91" t="s">
        <v>262</v>
      </c>
      <c r="C17" s="91" t="s">
        <v>198</v>
      </c>
    </row>
    <row r="18" spans="1:3" x14ac:dyDescent="0.3">
      <c r="A18" s="71">
        <v>100</v>
      </c>
      <c r="B18" s="72" t="s">
        <v>258</v>
      </c>
      <c r="C18" s="73" t="s">
        <v>197</v>
      </c>
    </row>
    <row r="19" spans="1:3" x14ac:dyDescent="0.3">
      <c r="A19" s="71">
        <v>1200</v>
      </c>
      <c r="B19" s="72" t="s">
        <v>257</v>
      </c>
      <c r="C19" s="73" t="s">
        <v>197</v>
      </c>
    </row>
    <row r="20" spans="1:3" x14ac:dyDescent="0.3">
      <c r="A20" s="71">
        <v>2000</v>
      </c>
      <c r="B20" s="72" t="s">
        <v>5</v>
      </c>
      <c r="C20" s="73" t="s">
        <v>197</v>
      </c>
    </row>
    <row r="21" spans="1:3" x14ac:dyDescent="0.3">
      <c r="A21" s="71">
        <v>1500</v>
      </c>
      <c r="B21" s="72" t="s">
        <v>194</v>
      </c>
      <c r="C21" s="73" t="s">
        <v>197</v>
      </c>
    </row>
    <row r="22" spans="1:3" x14ac:dyDescent="0.3">
      <c r="A22" s="71">
        <v>6500</v>
      </c>
      <c r="B22" s="72" t="s">
        <v>13</v>
      </c>
      <c r="C22" s="73" t="s">
        <v>197</v>
      </c>
    </row>
    <row r="23" spans="1:3" x14ac:dyDescent="0.3">
      <c r="A23" s="71">
        <v>100</v>
      </c>
      <c r="B23" s="72" t="s">
        <v>9</v>
      </c>
      <c r="C23" s="73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7" workbookViewId="0">
      <selection sqref="A1:C23"/>
    </sheetView>
  </sheetViews>
  <sheetFormatPr defaultRowHeight="14.4" x14ac:dyDescent="0.3"/>
  <cols>
    <col min="1" max="1" width="58.33203125" customWidth="1"/>
    <col min="2" max="2" width="37.109375" customWidth="1"/>
    <col min="3" max="3" width="68.6640625" customWidth="1"/>
  </cols>
  <sheetData>
    <row r="1" spans="1:3" x14ac:dyDescent="0.3">
      <c r="A1" s="55" t="s">
        <v>265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1000</v>
      </c>
      <c r="B3" s="70" t="s">
        <v>237</v>
      </c>
      <c r="C3" s="69" t="s">
        <v>199</v>
      </c>
    </row>
    <row r="4" spans="1:3" x14ac:dyDescent="0.3">
      <c r="A4" s="69">
        <v>1500</v>
      </c>
      <c r="B4" s="70" t="s">
        <v>7</v>
      </c>
      <c r="C4" s="69" t="s">
        <v>199</v>
      </c>
    </row>
    <row r="5" spans="1:3" x14ac:dyDescent="0.3">
      <c r="A5" s="69">
        <v>100</v>
      </c>
      <c r="B5" s="70" t="s">
        <v>8</v>
      </c>
      <c r="C5" s="69" t="s">
        <v>199</v>
      </c>
    </row>
    <row r="6" spans="1:3" x14ac:dyDescent="0.3">
      <c r="A6" s="79">
        <v>5000</v>
      </c>
      <c r="B6" s="80" t="s">
        <v>2</v>
      </c>
      <c r="C6" s="81" t="s">
        <v>198</v>
      </c>
    </row>
    <row r="7" spans="1:3" x14ac:dyDescent="0.3">
      <c r="A7" s="79">
        <v>8900</v>
      </c>
      <c r="B7" s="80" t="s">
        <v>29</v>
      </c>
      <c r="C7" s="81" t="s">
        <v>198</v>
      </c>
    </row>
    <row r="8" spans="1:3" x14ac:dyDescent="0.3">
      <c r="A8" s="79">
        <v>10800</v>
      </c>
      <c r="B8" s="80" t="s">
        <v>17</v>
      </c>
      <c r="C8" s="81" t="s">
        <v>198</v>
      </c>
    </row>
    <row r="9" spans="1:3" x14ac:dyDescent="0.3">
      <c r="A9" s="79">
        <v>650</v>
      </c>
      <c r="B9" s="80" t="s">
        <v>71</v>
      </c>
      <c r="C9" s="81" t="s">
        <v>198</v>
      </c>
    </row>
    <row r="10" spans="1:3" x14ac:dyDescent="0.3">
      <c r="A10" s="79">
        <v>700</v>
      </c>
      <c r="B10" s="80" t="s">
        <v>238</v>
      </c>
      <c r="C10" s="81" t="s">
        <v>198</v>
      </c>
    </row>
    <row r="11" spans="1:3" x14ac:dyDescent="0.3">
      <c r="A11" s="79">
        <v>700</v>
      </c>
      <c r="B11" s="80" t="s">
        <v>250</v>
      </c>
      <c r="C11" s="81" t="s">
        <v>198</v>
      </c>
    </row>
    <row r="12" spans="1:3" x14ac:dyDescent="0.3">
      <c r="A12" s="79">
        <v>300</v>
      </c>
      <c r="B12" s="80" t="s">
        <v>203</v>
      </c>
      <c r="C12" s="81" t="s">
        <v>198</v>
      </c>
    </row>
    <row r="13" spans="1:3" x14ac:dyDescent="0.3">
      <c r="A13" s="89">
        <v>600</v>
      </c>
      <c r="B13" s="90" t="s">
        <v>1</v>
      </c>
      <c r="C13" s="91" t="s">
        <v>198</v>
      </c>
    </row>
    <row r="14" spans="1:3" x14ac:dyDescent="0.3">
      <c r="A14" s="89">
        <v>1700</v>
      </c>
      <c r="B14" s="90" t="s">
        <v>191</v>
      </c>
      <c r="C14" s="91" t="s">
        <v>198</v>
      </c>
    </row>
    <row r="15" spans="1:3" x14ac:dyDescent="0.3">
      <c r="A15" s="89">
        <v>550</v>
      </c>
      <c r="B15" s="90" t="s">
        <v>244</v>
      </c>
      <c r="C15" s="91" t="s">
        <v>198</v>
      </c>
    </row>
    <row r="16" spans="1:3" x14ac:dyDescent="0.3">
      <c r="A16" s="91">
        <v>210</v>
      </c>
      <c r="B16" s="91" t="s">
        <v>259</v>
      </c>
      <c r="C16" s="91" t="s">
        <v>198</v>
      </c>
    </row>
    <row r="17" spans="1:3" x14ac:dyDescent="0.3">
      <c r="A17" s="91">
        <v>650</v>
      </c>
      <c r="B17" s="91" t="s">
        <v>262</v>
      </c>
      <c r="C17" s="91" t="s">
        <v>198</v>
      </c>
    </row>
    <row r="18" spans="1:3" x14ac:dyDescent="0.3">
      <c r="A18" s="71">
        <v>100</v>
      </c>
      <c r="B18" s="72" t="s">
        <v>258</v>
      </c>
      <c r="C18" s="73" t="s">
        <v>197</v>
      </c>
    </row>
    <row r="19" spans="1:3" x14ac:dyDescent="0.3">
      <c r="A19" s="71">
        <v>1200</v>
      </c>
      <c r="B19" s="72" t="s">
        <v>257</v>
      </c>
      <c r="C19" s="73" t="s">
        <v>197</v>
      </c>
    </row>
    <row r="20" spans="1:3" x14ac:dyDescent="0.3">
      <c r="A20" s="71">
        <v>2000</v>
      </c>
      <c r="B20" s="72" t="s">
        <v>5</v>
      </c>
      <c r="C20" s="73" t="s">
        <v>197</v>
      </c>
    </row>
    <row r="21" spans="1:3" x14ac:dyDescent="0.3">
      <c r="A21" s="71">
        <v>1500</v>
      </c>
      <c r="B21" s="72" t="s">
        <v>194</v>
      </c>
      <c r="C21" s="73" t="s">
        <v>197</v>
      </c>
    </row>
    <row r="22" spans="1:3" x14ac:dyDescent="0.3">
      <c r="A22" s="71">
        <v>6500</v>
      </c>
      <c r="B22" s="72" t="s">
        <v>13</v>
      </c>
      <c r="C22" s="73" t="s">
        <v>197</v>
      </c>
    </row>
    <row r="23" spans="1:3" x14ac:dyDescent="0.3">
      <c r="A23" s="71">
        <v>100</v>
      </c>
      <c r="B23" s="72" t="s">
        <v>9</v>
      </c>
      <c r="C23" s="73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7" workbookViewId="0">
      <selection sqref="A1:C23"/>
    </sheetView>
  </sheetViews>
  <sheetFormatPr defaultRowHeight="14.4" x14ac:dyDescent="0.3"/>
  <cols>
    <col min="1" max="1" width="35.109375" customWidth="1"/>
    <col min="2" max="2" width="36" customWidth="1"/>
    <col min="3" max="3" width="39.33203125" customWidth="1"/>
  </cols>
  <sheetData>
    <row r="1" spans="1:3" x14ac:dyDescent="0.3">
      <c r="A1" s="55" t="s">
        <v>266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1000</v>
      </c>
      <c r="B3" s="70" t="s">
        <v>237</v>
      </c>
      <c r="C3" s="69" t="s">
        <v>199</v>
      </c>
    </row>
    <row r="4" spans="1:3" x14ac:dyDescent="0.3">
      <c r="A4" s="69">
        <v>1500</v>
      </c>
      <c r="B4" s="70" t="s">
        <v>267</v>
      </c>
      <c r="C4" s="69" t="s">
        <v>199</v>
      </c>
    </row>
    <row r="5" spans="1:3" x14ac:dyDescent="0.3">
      <c r="A5" s="69">
        <v>100</v>
      </c>
      <c r="B5" s="70" t="s">
        <v>8</v>
      </c>
      <c r="C5" s="69" t="s">
        <v>199</v>
      </c>
    </row>
    <row r="6" spans="1:3" x14ac:dyDescent="0.3">
      <c r="A6" s="79">
        <v>5000</v>
      </c>
      <c r="B6" s="80" t="s">
        <v>2</v>
      </c>
      <c r="C6" s="81" t="s">
        <v>198</v>
      </c>
    </row>
    <row r="7" spans="1:3" x14ac:dyDescent="0.3">
      <c r="A7" s="79">
        <v>8250</v>
      </c>
      <c r="B7" s="80" t="s">
        <v>29</v>
      </c>
      <c r="C7" s="81" t="s">
        <v>198</v>
      </c>
    </row>
    <row r="8" spans="1:3" x14ac:dyDescent="0.3">
      <c r="A8" s="79">
        <v>10800</v>
      </c>
      <c r="B8" s="80" t="s">
        <v>17</v>
      </c>
      <c r="C8" s="81" t="s">
        <v>198</v>
      </c>
    </row>
    <row r="9" spans="1:3" x14ac:dyDescent="0.3">
      <c r="A9" s="79">
        <v>650</v>
      </c>
      <c r="B9" s="80" t="s">
        <v>71</v>
      </c>
      <c r="C9" s="81" t="s">
        <v>198</v>
      </c>
    </row>
    <row r="10" spans="1:3" x14ac:dyDescent="0.3">
      <c r="A10" s="79">
        <v>700</v>
      </c>
      <c r="B10" s="80" t="s">
        <v>238</v>
      </c>
      <c r="C10" s="81" t="s">
        <v>198</v>
      </c>
    </row>
    <row r="11" spans="1:3" x14ac:dyDescent="0.3">
      <c r="A11" s="79">
        <v>700</v>
      </c>
      <c r="B11" s="80" t="s">
        <v>250</v>
      </c>
      <c r="C11" s="81" t="s">
        <v>198</v>
      </c>
    </row>
    <row r="12" spans="1:3" x14ac:dyDescent="0.3">
      <c r="A12" s="79">
        <v>300</v>
      </c>
      <c r="B12" s="80" t="s">
        <v>203</v>
      </c>
      <c r="C12" s="81" t="s">
        <v>198</v>
      </c>
    </row>
    <row r="13" spans="1:3" x14ac:dyDescent="0.3">
      <c r="A13" s="89">
        <v>300</v>
      </c>
      <c r="B13" s="90" t="s">
        <v>1</v>
      </c>
      <c r="C13" s="91" t="s">
        <v>198</v>
      </c>
    </row>
    <row r="14" spans="1:3" x14ac:dyDescent="0.3">
      <c r="A14" s="89">
        <v>1700</v>
      </c>
      <c r="B14" s="90" t="s">
        <v>191</v>
      </c>
      <c r="C14" s="91" t="s">
        <v>198</v>
      </c>
    </row>
    <row r="15" spans="1:3" x14ac:dyDescent="0.3">
      <c r="A15" s="89">
        <v>550</v>
      </c>
      <c r="B15" s="90" t="s">
        <v>244</v>
      </c>
      <c r="C15" s="91" t="s">
        <v>198</v>
      </c>
    </row>
    <row r="16" spans="1:3" x14ac:dyDescent="0.3">
      <c r="A16" s="92">
        <v>210</v>
      </c>
      <c r="B16" s="92" t="s">
        <v>259</v>
      </c>
      <c r="C16" s="92" t="s">
        <v>198</v>
      </c>
    </row>
    <row r="17" spans="1:3" x14ac:dyDescent="0.3">
      <c r="A17" s="91">
        <v>650</v>
      </c>
      <c r="B17" s="91" t="s">
        <v>262</v>
      </c>
      <c r="C17" s="91" t="s">
        <v>198</v>
      </c>
    </row>
    <row r="18" spans="1:3" x14ac:dyDescent="0.3">
      <c r="A18" s="71">
        <v>100</v>
      </c>
      <c r="B18" s="72" t="s">
        <v>258</v>
      </c>
      <c r="C18" s="73" t="s">
        <v>197</v>
      </c>
    </row>
    <row r="19" spans="1:3" x14ac:dyDescent="0.3">
      <c r="A19" s="71">
        <v>1200</v>
      </c>
      <c r="B19" s="72" t="s">
        <v>257</v>
      </c>
      <c r="C19" s="73" t="s">
        <v>197</v>
      </c>
    </row>
    <row r="20" spans="1:3" x14ac:dyDescent="0.3">
      <c r="A20" s="71">
        <v>2000</v>
      </c>
      <c r="B20" s="72" t="s">
        <v>5</v>
      </c>
      <c r="C20" s="73" t="s">
        <v>197</v>
      </c>
    </row>
    <row r="21" spans="1:3" x14ac:dyDescent="0.3">
      <c r="A21" s="71">
        <v>1500</v>
      </c>
      <c r="B21" s="72" t="s">
        <v>194</v>
      </c>
      <c r="C21" s="73" t="s">
        <v>197</v>
      </c>
    </row>
    <row r="22" spans="1:3" x14ac:dyDescent="0.3">
      <c r="A22" s="71">
        <v>2000</v>
      </c>
      <c r="B22" s="72" t="s">
        <v>13</v>
      </c>
      <c r="C22" s="73" t="s">
        <v>197</v>
      </c>
    </row>
    <row r="23" spans="1:3" x14ac:dyDescent="0.3">
      <c r="A23" s="71">
        <v>100</v>
      </c>
      <c r="B23" s="72" t="s">
        <v>9</v>
      </c>
      <c r="C23" s="73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7" workbookViewId="0">
      <selection sqref="A1:C23"/>
    </sheetView>
  </sheetViews>
  <sheetFormatPr defaultRowHeight="14.4" x14ac:dyDescent="0.3"/>
  <cols>
    <col min="1" max="1" width="39.33203125" customWidth="1"/>
    <col min="2" max="2" width="29.109375" customWidth="1"/>
    <col min="3" max="3" width="40.5546875" customWidth="1"/>
  </cols>
  <sheetData>
    <row r="1" spans="1:3" x14ac:dyDescent="0.3">
      <c r="A1" s="55" t="s">
        <v>268</v>
      </c>
      <c r="B1" s="66" t="s">
        <v>28</v>
      </c>
      <c r="C1" s="55" t="s">
        <v>196</v>
      </c>
    </row>
    <row r="2" spans="1:3" x14ac:dyDescent="0.3">
      <c r="A2" s="55"/>
      <c r="B2" s="66"/>
      <c r="C2" s="55"/>
    </row>
    <row r="3" spans="1:3" x14ac:dyDescent="0.3">
      <c r="A3" s="69">
        <v>1000</v>
      </c>
      <c r="B3" s="70" t="s">
        <v>237</v>
      </c>
      <c r="C3" s="69" t="s">
        <v>199</v>
      </c>
    </row>
    <row r="4" spans="1:3" x14ac:dyDescent="0.3">
      <c r="A4" s="69">
        <v>1500</v>
      </c>
      <c r="B4" s="70" t="s">
        <v>267</v>
      </c>
      <c r="C4" s="69" t="s">
        <v>199</v>
      </c>
    </row>
    <row r="5" spans="1:3" x14ac:dyDescent="0.3">
      <c r="A5" s="69">
        <v>100</v>
      </c>
      <c r="B5" s="70" t="s">
        <v>8</v>
      </c>
      <c r="C5" s="69" t="s">
        <v>199</v>
      </c>
    </row>
    <row r="6" spans="1:3" x14ac:dyDescent="0.3">
      <c r="A6" s="79">
        <v>5000</v>
      </c>
      <c r="B6" s="80" t="s">
        <v>2</v>
      </c>
      <c r="C6" s="81" t="s">
        <v>198</v>
      </c>
    </row>
    <row r="7" spans="1:3" x14ac:dyDescent="0.3">
      <c r="A7" s="79">
        <v>8250</v>
      </c>
      <c r="B7" s="80" t="s">
        <v>29</v>
      </c>
      <c r="C7" s="81" t="s">
        <v>198</v>
      </c>
    </row>
    <row r="8" spans="1:3" x14ac:dyDescent="0.3">
      <c r="A8" s="79">
        <v>10800</v>
      </c>
      <c r="B8" s="80" t="s">
        <v>17</v>
      </c>
      <c r="C8" s="81" t="s">
        <v>198</v>
      </c>
    </row>
    <row r="9" spans="1:3" x14ac:dyDescent="0.3">
      <c r="A9" s="79">
        <v>650</v>
      </c>
      <c r="B9" s="80" t="s">
        <v>71</v>
      </c>
      <c r="C9" s="81" t="s">
        <v>198</v>
      </c>
    </row>
    <row r="10" spans="1:3" x14ac:dyDescent="0.3">
      <c r="A10" s="79">
        <v>900</v>
      </c>
      <c r="B10" s="80" t="s">
        <v>238</v>
      </c>
      <c r="C10" s="81" t="s">
        <v>198</v>
      </c>
    </row>
    <row r="11" spans="1:3" x14ac:dyDescent="0.3">
      <c r="A11" s="79">
        <v>700</v>
      </c>
      <c r="B11" s="80" t="s">
        <v>250</v>
      </c>
      <c r="C11" s="81" t="s">
        <v>198</v>
      </c>
    </row>
    <row r="12" spans="1:3" x14ac:dyDescent="0.3">
      <c r="A12" s="79">
        <v>300</v>
      </c>
      <c r="B12" s="80" t="s">
        <v>203</v>
      </c>
      <c r="C12" s="81" t="s">
        <v>198</v>
      </c>
    </row>
    <row r="13" spans="1:3" x14ac:dyDescent="0.3">
      <c r="A13" s="89">
        <v>300</v>
      </c>
      <c r="B13" s="90" t="s">
        <v>1</v>
      </c>
      <c r="C13" s="91" t="s">
        <v>198</v>
      </c>
    </row>
    <row r="14" spans="1:3" x14ac:dyDescent="0.3">
      <c r="A14" s="89">
        <v>1700</v>
      </c>
      <c r="B14" s="90" t="s">
        <v>191</v>
      </c>
      <c r="C14" s="91" t="s">
        <v>198</v>
      </c>
    </row>
    <row r="15" spans="1:3" x14ac:dyDescent="0.3">
      <c r="A15" s="89">
        <v>550</v>
      </c>
      <c r="B15" s="90" t="s">
        <v>244</v>
      </c>
      <c r="C15" s="91" t="s">
        <v>198</v>
      </c>
    </row>
    <row r="16" spans="1:3" x14ac:dyDescent="0.3">
      <c r="A16" s="92">
        <v>0</v>
      </c>
      <c r="B16" s="92" t="s">
        <v>259</v>
      </c>
      <c r="C16" s="92" t="s">
        <v>198</v>
      </c>
    </row>
    <row r="17" spans="1:3" x14ac:dyDescent="0.3">
      <c r="A17" s="91">
        <v>650</v>
      </c>
      <c r="B17" s="91" t="s">
        <v>262</v>
      </c>
      <c r="C17" s="91" t="s">
        <v>198</v>
      </c>
    </row>
    <row r="18" spans="1:3" x14ac:dyDescent="0.3">
      <c r="A18" s="71">
        <v>100</v>
      </c>
      <c r="B18" s="72" t="s">
        <v>258</v>
      </c>
      <c r="C18" s="73" t="s">
        <v>197</v>
      </c>
    </row>
    <row r="19" spans="1:3" x14ac:dyDescent="0.3">
      <c r="A19" s="71">
        <v>0</v>
      </c>
      <c r="B19" s="72" t="s">
        <v>257</v>
      </c>
      <c r="C19" s="73" t="s">
        <v>197</v>
      </c>
    </row>
    <row r="20" spans="1:3" x14ac:dyDescent="0.3">
      <c r="A20" s="71">
        <v>1000</v>
      </c>
      <c r="B20" s="72" t="s">
        <v>5</v>
      </c>
      <c r="C20" s="73" t="s">
        <v>197</v>
      </c>
    </row>
    <row r="21" spans="1:3" x14ac:dyDescent="0.3">
      <c r="A21" s="71">
        <v>750</v>
      </c>
      <c r="B21" s="72" t="s">
        <v>194</v>
      </c>
      <c r="C21" s="73" t="s">
        <v>197</v>
      </c>
    </row>
    <row r="22" spans="1:3" x14ac:dyDescent="0.3">
      <c r="A22" s="71">
        <v>1000</v>
      </c>
      <c r="B22" s="72" t="s">
        <v>13</v>
      </c>
      <c r="C22" s="73" t="s">
        <v>197</v>
      </c>
    </row>
    <row r="23" spans="1:3" x14ac:dyDescent="0.3">
      <c r="A23" s="71">
        <v>100</v>
      </c>
      <c r="B23" s="72" t="s">
        <v>9</v>
      </c>
      <c r="C23" s="73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>
      <selection activeCell="G39" sqref="G39"/>
    </sheetView>
  </sheetViews>
  <sheetFormatPr defaultColWidth="9.109375" defaultRowHeight="14.4" x14ac:dyDescent="0.3"/>
  <cols>
    <col min="1" max="1" width="52.109375" style="95" customWidth="1"/>
    <col min="2" max="2" width="25.33203125" style="95" customWidth="1"/>
    <col min="3" max="3" width="36" style="95" customWidth="1"/>
    <col min="4" max="5" width="9.109375" style="95"/>
    <col min="6" max="6" width="18.44140625" style="95" bestFit="1" customWidth="1"/>
    <col min="7" max="7" width="35.109375" style="95" customWidth="1"/>
    <col min="8" max="8" width="11.109375" style="95" bestFit="1" customWidth="1"/>
    <col min="9" max="16384" width="9.109375" style="95"/>
  </cols>
  <sheetData>
    <row r="1" spans="1:8" x14ac:dyDescent="0.3">
      <c r="A1" s="93" t="s">
        <v>252</v>
      </c>
      <c r="B1" s="94" t="s">
        <v>28</v>
      </c>
      <c r="C1" s="93" t="s">
        <v>196</v>
      </c>
      <c r="F1" s="108" t="s">
        <v>270</v>
      </c>
      <c r="G1" s="108"/>
      <c r="H1" s="108"/>
    </row>
    <row r="2" spans="1:8" x14ac:dyDescent="0.3">
      <c r="A2" s="93"/>
      <c r="B2" s="94"/>
      <c r="C2" s="93"/>
      <c r="F2" s="109" t="s">
        <v>271</v>
      </c>
      <c r="G2" s="109" t="s">
        <v>272</v>
      </c>
      <c r="H2" s="109" t="s">
        <v>273</v>
      </c>
    </row>
    <row r="3" spans="1:8" x14ac:dyDescent="0.3">
      <c r="A3" s="96">
        <v>1000</v>
      </c>
      <c r="B3" s="97" t="s">
        <v>237</v>
      </c>
      <c r="C3" s="96" t="s">
        <v>199</v>
      </c>
      <c r="F3" s="110" t="s">
        <v>274</v>
      </c>
      <c r="G3" s="110" t="s">
        <v>275</v>
      </c>
      <c r="H3" s="110">
        <v>142</v>
      </c>
    </row>
    <row r="4" spans="1:8" x14ac:dyDescent="0.3">
      <c r="A4" s="96">
        <v>1500</v>
      </c>
      <c r="B4" s="97" t="s">
        <v>267</v>
      </c>
      <c r="C4" s="96" t="s">
        <v>199</v>
      </c>
      <c r="F4" s="110"/>
      <c r="G4" s="110" t="s">
        <v>276</v>
      </c>
      <c r="H4" s="110">
        <v>153</v>
      </c>
    </row>
    <row r="5" spans="1:8" x14ac:dyDescent="0.3">
      <c r="A5" s="96">
        <v>100</v>
      </c>
      <c r="B5" s="97" t="s">
        <v>8</v>
      </c>
      <c r="C5" s="96" t="s">
        <v>199</v>
      </c>
      <c r="F5" s="111" t="s">
        <v>277</v>
      </c>
      <c r="G5" s="111" t="s">
        <v>278</v>
      </c>
      <c r="H5" s="111">
        <v>214</v>
      </c>
    </row>
    <row r="6" spans="1:8" x14ac:dyDescent="0.3">
      <c r="A6" s="98">
        <v>5000</v>
      </c>
      <c r="B6" s="99" t="s">
        <v>2</v>
      </c>
      <c r="C6" s="100" t="s">
        <v>198</v>
      </c>
      <c r="F6" s="111"/>
      <c r="G6" s="111" t="s">
        <v>279</v>
      </c>
      <c r="H6" s="111">
        <v>124</v>
      </c>
    </row>
    <row r="7" spans="1:8" x14ac:dyDescent="0.3">
      <c r="A7" s="98">
        <v>9000</v>
      </c>
      <c r="B7" s="99" t="s">
        <v>29</v>
      </c>
      <c r="C7" s="100" t="s">
        <v>198</v>
      </c>
      <c r="F7" s="111"/>
      <c r="G7" s="111" t="s">
        <v>280</v>
      </c>
      <c r="H7" s="111">
        <v>600</v>
      </c>
    </row>
    <row r="8" spans="1:8" x14ac:dyDescent="0.3">
      <c r="A8" s="98">
        <v>10800</v>
      </c>
      <c r="B8" s="99" t="s">
        <v>17</v>
      </c>
      <c r="C8" s="100" t="s">
        <v>198</v>
      </c>
      <c r="F8" s="111"/>
      <c r="G8" s="111" t="s">
        <v>244</v>
      </c>
      <c r="H8" s="111">
        <v>515</v>
      </c>
    </row>
    <row r="9" spans="1:8" x14ac:dyDescent="0.3">
      <c r="A9" s="98">
        <v>650</v>
      </c>
      <c r="B9" s="99" t="s">
        <v>71</v>
      </c>
      <c r="C9" s="100" t="s">
        <v>198</v>
      </c>
      <c r="F9" s="111"/>
      <c r="G9" s="111" t="s">
        <v>281</v>
      </c>
      <c r="H9" s="111">
        <v>1504</v>
      </c>
    </row>
    <row r="10" spans="1:8" x14ac:dyDescent="0.3">
      <c r="A10" s="98">
        <v>900</v>
      </c>
      <c r="B10" s="99" t="s">
        <v>238</v>
      </c>
      <c r="C10" s="100" t="s">
        <v>198</v>
      </c>
      <c r="F10" s="111"/>
      <c r="G10" s="111" t="s">
        <v>282</v>
      </c>
      <c r="H10" s="111">
        <v>510</v>
      </c>
    </row>
    <row r="11" spans="1:8" x14ac:dyDescent="0.3">
      <c r="A11" s="98">
        <v>700</v>
      </c>
      <c r="B11" s="99" t="s">
        <v>250</v>
      </c>
      <c r="C11" s="100" t="s">
        <v>198</v>
      </c>
      <c r="F11" s="111"/>
      <c r="G11" s="111" t="s">
        <v>283</v>
      </c>
      <c r="H11" s="111">
        <v>30</v>
      </c>
    </row>
    <row r="12" spans="1:8" x14ac:dyDescent="0.3">
      <c r="A12" s="98">
        <v>300</v>
      </c>
      <c r="B12" s="99" t="s">
        <v>203</v>
      </c>
      <c r="C12" s="100" t="s">
        <v>198</v>
      </c>
      <c r="F12" s="111"/>
      <c r="G12" s="111" t="s">
        <v>284</v>
      </c>
      <c r="H12" s="111">
        <v>94</v>
      </c>
    </row>
    <row r="13" spans="1:8" x14ac:dyDescent="0.3">
      <c r="A13" s="101">
        <v>600</v>
      </c>
      <c r="B13" s="102" t="s">
        <v>1</v>
      </c>
      <c r="C13" s="103" t="s">
        <v>198</v>
      </c>
      <c r="F13" s="111"/>
      <c r="G13" s="111" t="s">
        <v>285</v>
      </c>
      <c r="H13" s="111">
        <v>60</v>
      </c>
    </row>
    <row r="14" spans="1:8" x14ac:dyDescent="0.3">
      <c r="A14" s="101">
        <v>1700</v>
      </c>
      <c r="B14" s="102" t="s">
        <v>191</v>
      </c>
      <c r="C14" s="103" t="s">
        <v>198</v>
      </c>
      <c r="F14" s="111"/>
      <c r="G14" s="111" t="s">
        <v>286</v>
      </c>
      <c r="H14" s="111">
        <v>132</v>
      </c>
    </row>
    <row r="15" spans="1:8" x14ac:dyDescent="0.3">
      <c r="A15" s="101">
        <v>550</v>
      </c>
      <c r="B15" s="102" t="s">
        <v>244</v>
      </c>
      <c r="C15" s="103" t="s">
        <v>198</v>
      </c>
      <c r="F15" s="112" t="s">
        <v>287</v>
      </c>
      <c r="G15" s="112" t="s">
        <v>257</v>
      </c>
      <c r="H15" s="112">
        <v>1200</v>
      </c>
    </row>
    <row r="16" spans="1:8" x14ac:dyDescent="0.3">
      <c r="A16" s="104">
        <v>1205</v>
      </c>
      <c r="B16" s="104" t="s">
        <v>269</v>
      </c>
      <c r="C16" s="104" t="s">
        <v>198</v>
      </c>
      <c r="F16" s="112"/>
      <c r="G16" s="112" t="s">
        <v>288</v>
      </c>
      <c r="H16" s="112">
        <v>37</v>
      </c>
    </row>
    <row r="17" spans="1:8" x14ac:dyDescent="0.3">
      <c r="A17" s="103"/>
      <c r="B17" s="103"/>
      <c r="C17" s="103"/>
      <c r="F17" s="113" t="s">
        <v>289</v>
      </c>
      <c r="G17" s="113" t="s">
        <v>257</v>
      </c>
      <c r="H17" s="113">
        <v>1200</v>
      </c>
    </row>
    <row r="18" spans="1:8" x14ac:dyDescent="0.3">
      <c r="A18" s="105">
        <v>100</v>
      </c>
      <c r="B18" s="106" t="s">
        <v>258</v>
      </c>
      <c r="C18" s="107" t="s">
        <v>197</v>
      </c>
      <c r="F18" s="113"/>
      <c r="G18" s="113" t="s">
        <v>294</v>
      </c>
      <c r="H18" s="113">
        <v>300</v>
      </c>
    </row>
    <row r="19" spans="1:8" x14ac:dyDescent="0.3">
      <c r="A19" s="105">
        <v>1400</v>
      </c>
      <c r="B19" s="106" t="s">
        <v>257</v>
      </c>
      <c r="C19" s="107" t="s">
        <v>197</v>
      </c>
      <c r="F19" s="113"/>
      <c r="G19" s="113" t="s">
        <v>295</v>
      </c>
      <c r="H19" s="113">
        <v>113.56</v>
      </c>
    </row>
    <row r="20" spans="1:8" x14ac:dyDescent="0.3">
      <c r="A20" s="105">
        <v>2000</v>
      </c>
      <c r="B20" s="106" t="s">
        <v>5</v>
      </c>
      <c r="C20" s="107" t="s">
        <v>197</v>
      </c>
      <c r="F20" s="114" t="s">
        <v>290</v>
      </c>
      <c r="G20" s="114" t="s">
        <v>291</v>
      </c>
      <c r="H20" s="114">
        <v>763.16</v>
      </c>
    </row>
    <row r="21" spans="1:8" x14ac:dyDescent="0.3">
      <c r="A21" s="105">
        <v>1000</v>
      </c>
      <c r="B21" s="106" t="s">
        <v>194</v>
      </c>
      <c r="C21" s="107" t="s">
        <v>197</v>
      </c>
      <c r="F21" s="114"/>
      <c r="G21" s="114" t="s">
        <v>292</v>
      </c>
      <c r="H21" s="114">
        <v>274.13</v>
      </c>
    </row>
    <row r="22" spans="1:8" x14ac:dyDescent="0.3">
      <c r="A22" s="105">
        <v>6000</v>
      </c>
      <c r="B22" s="106" t="s">
        <v>13</v>
      </c>
      <c r="C22" s="107" t="s">
        <v>197</v>
      </c>
      <c r="F22" s="114"/>
      <c r="G22" s="114" t="s">
        <v>293</v>
      </c>
      <c r="H22" s="114">
        <v>10632.59</v>
      </c>
    </row>
    <row r="23" spans="1:8" x14ac:dyDescent="0.3">
      <c r="A23" s="105">
        <v>100</v>
      </c>
      <c r="B23" s="106" t="s">
        <v>9</v>
      </c>
      <c r="C23" s="107" t="s">
        <v>197</v>
      </c>
      <c r="F23" s="114"/>
      <c r="G23" s="114" t="s">
        <v>296</v>
      </c>
      <c r="H23" s="114">
        <v>181.6</v>
      </c>
    </row>
    <row r="24" spans="1:8" x14ac:dyDescent="0.3">
      <c r="F24" s="114"/>
      <c r="G24" s="114" t="s">
        <v>297</v>
      </c>
      <c r="H24" s="114">
        <v>40</v>
      </c>
    </row>
    <row r="25" spans="1:8" x14ac:dyDescent="0.3">
      <c r="F25" s="114"/>
      <c r="G25" s="114" t="s">
        <v>298</v>
      </c>
      <c r="H25" s="114">
        <v>194.9</v>
      </c>
    </row>
    <row r="26" spans="1:8" x14ac:dyDescent="0.3">
      <c r="F26" s="114"/>
      <c r="G26" s="114" t="s">
        <v>299</v>
      </c>
      <c r="H26" s="114">
        <v>49.7</v>
      </c>
    </row>
    <row r="27" spans="1:8" x14ac:dyDescent="0.3">
      <c r="F27" s="112" t="s">
        <v>300</v>
      </c>
      <c r="G27" s="112" t="s">
        <v>301</v>
      </c>
      <c r="H27" s="112" t="s">
        <v>302</v>
      </c>
    </row>
    <row r="28" spans="1:8" x14ac:dyDescent="0.3">
      <c r="F28" s="112"/>
      <c r="G28" s="112" t="s">
        <v>303</v>
      </c>
      <c r="H28" s="112">
        <v>7102.35</v>
      </c>
    </row>
    <row r="29" spans="1:8" x14ac:dyDescent="0.3">
      <c r="F29" s="115" t="s">
        <v>304</v>
      </c>
      <c r="G29" s="115" t="s">
        <v>284</v>
      </c>
      <c r="H29" s="115">
        <v>30</v>
      </c>
    </row>
    <row r="30" spans="1:8" x14ac:dyDescent="0.3">
      <c r="F30" s="115"/>
      <c r="G30" s="115" t="s">
        <v>305</v>
      </c>
      <c r="H30" s="115">
        <v>235</v>
      </c>
    </row>
    <row r="31" spans="1:8" x14ac:dyDescent="0.3">
      <c r="F31" s="115"/>
      <c r="G31" s="115" t="s">
        <v>368</v>
      </c>
      <c r="H31" s="115">
        <v>604.15</v>
      </c>
    </row>
    <row r="32" spans="1:8" x14ac:dyDescent="0.3">
      <c r="F32" s="115"/>
      <c r="G32" s="115" t="s">
        <v>306</v>
      </c>
      <c r="H32" s="115">
        <v>51.98</v>
      </c>
    </row>
    <row r="33" spans="6:8" x14ac:dyDescent="0.3">
      <c r="F33" s="112" t="s">
        <v>307</v>
      </c>
      <c r="G33" s="112" t="s">
        <v>308</v>
      </c>
      <c r="H33" s="112">
        <v>108.5</v>
      </c>
    </row>
    <row r="34" spans="6:8" x14ac:dyDescent="0.3">
      <c r="F34" s="112"/>
      <c r="G34" s="112" t="s">
        <v>278</v>
      </c>
      <c r="H34" s="112">
        <v>289.7</v>
      </c>
    </row>
    <row r="35" spans="6:8" x14ac:dyDescent="0.3">
      <c r="F35" s="112"/>
      <c r="G35" s="112" t="s">
        <v>295</v>
      </c>
      <c r="H35" s="112">
        <v>142.61000000000001</v>
      </c>
    </row>
    <row r="36" spans="6:8" x14ac:dyDescent="0.3">
      <c r="F36" s="112"/>
      <c r="G36" s="112" t="s">
        <v>309</v>
      </c>
      <c r="H36" s="112">
        <v>1037.01</v>
      </c>
    </row>
    <row r="37" spans="6:8" x14ac:dyDescent="0.3">
      <c r="F37" s="112"/>
      <c r="G37" s="112" t="s">
        <v>310</v>
      </c>
      <c r="H37" s="112">
        <v>962.13</v>
      </c>
    </row>
    <row r="38" spans="6:8" x14ac:dyDescent="0.3">
      <c r="F38" s="112"/>
      <c r="G38" s="112" t="s">
        <v>311</v>
      </c>
      <c r="H38" s="112">
        <v>123.44</v>
      </c>
    </row>
    <row r="39" spans="6:8" x14ac:dyDescent="0.3">
      <c r="F39" s="112"/>
      <c r="G39" s="112" t="s">
        <v>312</v>
      </c>
      <c r="H39" s="112">
        <v>3322.84</v>
      </c>
    </row>
    <row r="40" spans="6:8" x14ac:dyDescent="0.3">
      <c r="F40" s="112"/>
      <c r="G40" s="112" t="s">
        <v>313</v>
      </c>
      <c r="H40" s="112">
        <v>115.84</v>
      </c>
    </row>
    <row r="41" spans="6:8" x14ac:dyDescent="0.3">
      <c r="F41" s="116" t="s">
        <v>314</v>
      </c>
      <c r="G41" s="116" t="s">
        <v>294</v>
      </c>
      <c r="H41" s="116">
        <v>300</v>
      </c>
    </row>
    <row r="42" spans="6:8" x14ac:dyDescent="0.3">
      <c r="F42" s="116"/>
      <c r="G42" s="116" t="s">
        <v>315</v>
      </c>
      <c r="H42" s="116">
        <v>259.04000000000002</v>
      </c>
    </row>
    <row r="43" spans="6:8" x14ac:dyDescent="0.3">
      <c r="F43" s="116"/>
      <c r="G43" s="116" t="s">
        <v>316</v>
      </c>
      <c r="H43" s="116">
        <v>172</v>
      </c>
    </row>
    <row r="44" spans="6:8" x14ac:dyDescent="0.3">
      <c r="F44" s="117" t="s">
        <v>317</v>
      </c>
      <c r="G44" s="117" t="s">
        <v>318</v>
      </c>
      <c r="H44" s="117">
        <v>83</v>
      </c>
    </row>
    <row r="45" spans="6:8" x14ac:dyDescent="0.3">
      <c r="F45" s="117"/>
      <c r="G45" s="117" t="s">
        <v>319</v>
      </c>
      <c r="H45" s="117">
        <v>7684</v>
      </c>
    </row>
    <row r="46" spans="6:8" x14ac:dyDescent="0.3">
      <c r="F46" s="117"/>
      <c r="G46" s="118" t="s">
        <v>320</v>
      </c>
      <c r="H46" s="117">
        <v>1205</v>
      </c>
    </row>
    <row r="47" spans="6:8" x14ac:dyDescent="0.3">
      <c r="F47" s="117"/>
      <c r="G47" s="117" t="s">
        <v>321</v>
      </c>
      <c r="H47" s="117">
        <v>199.99</v>
      </c>
    </row>
    <row r="48" spans="6:8" x14ac:dyDescent="0.3">
      <c r="F48" s="117"/>
      <c r="G48" s="117" t="s">
        <v>330</v>
      </c>
      <c r="H48" s="117">
        <v>1000</v>
      </c>
    </row>
    <row r="49" spans="6:8" x14ac:dyDescent="0.3">
      <c r="F49" s="117"/>
      <c r="G49" s="117" t="s">
        <v>283</v>
      </c>
      <c r="H49" s="117">
        <v>241.88</v>
      </c>
    </row>
    <row r="50" spans="6:8" x14ac:dyDescent="0.3">
      <c r="F50" s="117"/>
      <c r="G50" s="117" t="s">
        <v>322</v>
      </c>
      <c r="H50" s="117">
        <v>12</v>
      </c>
    </row>
    <row r="51" spans="6:8" x14ac:dyDescent="0.3">
      <c r="F51" s="119" t="s">
        <v>323</v>
      </c>
      <c r="G51" s="119" t="s">
        <v>294</v>
      </c>
      <c r="H51" s="119">
        <v>400.1</v>
      </c>
    </row>
    <row r="52" spans="6:8" x14ac:dyDescent="0.3">
      <c r="F52" s="119"/>
      <c r="G52" s="119" t="s">
        <v>324</v>
      </c>
      <c r="H52" s="119">
        <v>140.4</v>
      </c>
    </row>
    <row r="53" spans="6:8" x14ac:dyDescent="0.3">
      <c r="F53" s="119"/>
      <c r="G53" s="119" t="s">
        <v>325</v>
      </c>
      <c r="H53" s="119">
        <v>119.4</v>
      </c>
    </row>
    <row r="54" spans="6:8" x14ac:dyDescent="0.3">
      <c r="F54" s="120" t="s">
        <v>326</v>
      </c>
      <c r="G54" s="120" t="s">
        <v>327</v>
      </c>
      <c r="H54" s="120">
        <v>110</v>
      </c>
    </row>
    <row r="55" spans="6:8" x14ac:dyDescent="0.3">
      <c r="F55" s="120"/>
      <c r="G55" s="120" t="s">
        <v>328</v>
      </c>
      <c r="H55" s="120">
        <v>46.5</v>
      </c>
    </row>
    <row r="56" spans="6:8" x14ac:dyDescent="0.3">
      <c r="F56" s="120"/>
      <c r="G56" s="120" t="s">
        <v>329</v>
      </c>
      <c r="H56" s="120">
        <v>790</v>
      </c>
    </row>
    <row r="57" spans="6:8" x14ac:dyDescent="0.3">
      <c r="F57" s="117" t="s">
        <v>331</v>
      </c>
      <c r="G57" s="117" t="s">
        <v>332</v>
      </c>
      <c r="H57" s="117">
        <v>117.98</v>
      </c>
    </row>
    <row r="58" spans="6:8" x14ac:dyDescent="0.3">
      <c r="F58" s="117"/>
      <c r="G58" s="117" t="s">
        <v>333</v>
      </c>
      <c r="H58" s="117">
        <v>39.979999999999997</v>
      </c>
    </row>
    <row r="59" spans="6:8" x14ac:dyDescent="0.3">
      <c r="F59" s="117"/>
      <c r="G59" s="117" t="s">
        <v>334</v>
      </c>
      <c r="H59" s="117">
        <v>129.94999999999999</v>
      </c>
    </row>
    <row r="60" spans="6:8" x14ac:dyDescent="0.3">
      <c r="F60" s="121" t="s">
        <v>335</v>
      </c>
      <c r="G60" s="121" t="s">
        <v>336</v>
      </c>
      <c r="H60" s="121">
        <v>98</v>
      </c>
    </row>
    <row r="61" spans="6:8" x14ac:dyDescent="0.3">
      <c r="F61" s="121"/>
      <c r="G61" s="121" t="s">
        <v>337</v>
      </c>
      <c r="H61" s="121">
        <v>53</v>
      </c>
    </row>
    <row r="62" spans="6:8" x14ac:dyDescent="0.3">
      <c r="F62" s="121"/>
      <c r="G62" s="121" t="s">
        <v>338</v>
      </c>
      <c r="H62" s="121">
        <v>670.21</v>
      </c>
    </row>
    <row r="63" spans="6:8" x14ac:dyDescent="0.3">
      <c r="F63" s="121"/>
      <c r="G63" s="121" t="s">
        <v>334</v>
      </c>
      <c r="H63" s="121">
        <v>69.98</v>
      </c>
    </row>
    <row r="64" spans="6:8" x14ac:dyDescent="0.3">
      <c r="F64" s="121"/>
      <c r="G64" s="121" t="s">
        <v>339</v>
      </c>
      <c r="H64" s="121">
        <v>9.52</v>
      </c>
    </row>
    <row r="65" spans="6:8" x14ac:dyDescent="0.3">
      <c r="F65" s="122" t="s">
        <v>340</v>
      </c>
      <c r="G65" s="122" t="s">
        <v>318</v>
      </c>
      <c r="H65" s="122">
        <v>83</v>
      </c>
    </row>
    <row r="66" spans="6:8" x14ac:dyDescent="0.3">
      <c r="F66" s="117" t="s">
        <v>341</v>
      </c>
      <c r="G66" s="117" t="s">
        <v>342</v>
      </c>
      <c r="H66" s="117">
        <v>127.42</v>
      </c>
    </row>
    <row r="67" spans="6:8" x14ac:dyDescent="0.3">
      <c r="F67" s="123" t="s">
        <v>343</v>
      </c>
      <c r="G67" s="123" t="s">
        <v>338</v>
      </c>
      <c r="H67" s="123">
        <v>194.42</v>
      </c>
    </row>
    <row r="68" spans="6:8" x14ac:dyDescent="0.3">
      <c r="F68" s="123"/>
      <c r="G68" s="123" t="s">
        <v>294</v>
      </c>
      <c r="H68" s="123">
        <v>300</v>
      </c>
    </row>
    <row r="69" spans="6:8" x14ac:dyDescent="0.25">
      <c r="F69" s="124" t="s">
        <v>344</v>
      </c>
      <c r="G69" s="125" t="s">
        <v>345</v>
      </c>
      <c r="H69" s="124">
        <v>255.53</v>
      </c>
    </row>
    <row r="70" spans="6:8" x14ac:dyDescent="0.25">
      <c r="F70" s="124"/>
      <c r="G70" s="125" t="s">
        <v>346</v>
      </c>
      <c r="H70" s="124">
        <v>55.77</v>
      </c>
    </row>
    <row r="71" spans="6:8" x14ac:dyDescent="0.3">
      <c r="F71" s="117" t="s">
        <v>347</v>
      </c>
      <c r="G71" s="117" t="s">
        <v>348</v>
      </c>
      <c r="H71" s="117">
        <v>124</v>
      </c>
    </row>
    <row r="72" spans="6:8" x14ac:dyDescent="0.3">
      <c r="F72" s="107"/>
      <c r="G72" s="107" t="s">
        <v>349</v>
      </c>
      <c r="H72" s="107">
        <v>55</v>
      </c>
    </row>
    <row r="73" spans="6:8" x14ac:dyDescent="0.3">
      <c r="F73" s="107"/>
      <c r="G73" s="107" t="s">
        <v>350</v>
      </c>
      <c r="H73" s="107">
        <v>179.99</v>
      </c>
    </row>
    <row r="74" spans="6:8" x14ac:dyDescent="0.3">
      <c r="F74" s="107"/>
      <c r="G74" s="107" t="s">
        <v>345</v>
      </c>
      <c r="H74" s="107">
        <v>344.94</v>
      </c>
    </row>
    <row r="75" spans="6:8" x14ac:dyDescent="0.3">
      <c r="F75" s="107"/>
      <c r="G75" s="107" t="s">
        <v>351</v>
      </c>
      <c r="H75" s="107">
        <v>45.98</v>
      </c>
    </row>
    <row r="76" spans="6:8" x14ac:dyDescent="0.3">
      <c r="F76" s="126" t="s">
        <v>352</v>
      </c>
      <c r="G76" s="126" t="s">
        <v>279</v>
      </c>
      <c r="H76" s="126">
        <v>131.4</v>
      </c>
    </row>
    <row r="77" spans="6:8" x14ac:dyDescent="0.3">
      <c r="F77" s="127"/>
      <c r="G77" s="127" t="s">
        <v>278</v>
      </c>
      <c r="H77" s="127">
        <v>212.9</v>
      </c>
    </row>
    <row r="78" spans="6:8" x14ac:dyDescent="0.3">
      <c r="F78" s="127"/>
      <c r="G78" s="127" t="s">
        <v>338</v>
      </c>
      <c r="H78" s="127">
        <v>455.28</v>
      </c>
    </row>
    <row r="79" spans="6:8" x14ac:dyDescent="0.3">
      <c r="F79" s="127"/>
      <c r="G79" s="127" t="s">
        <v>353</v>
      </c>
      <c r="H79" s="127">
        <v>264</v>
      </c>
    </row>
    <row r="80" spans="6:8" x14ac:dyDescent="0.3">
      <c r="F80" s="127"/>
      <c r="G80" s="127" t="s">
        <v>284</v>
      </c>
      <c r="H80" s="127">
        <v>34</v>
      </c>
    </row>
    <row r="81" spans="6:8" x14ac:dyDescent="0.3">
      <c r="F81" s="127"/>
      <c r="G81" s="127" t="s">
        <v>354</v>
      </c>
      <c r="H81" s="127">
        <v>219.7</v>
      </c>
    </row>
    <row r="82" spans="6:8" x14ac:dyDescent="0.3">
      <c r="F82" s="127"/>
      <c r="G82" s="127" t="s">
        <v>355</v>
      </c>
      <c r="H82" s="127">
        <v>284.58</v>
      </c>
    </row>
    <row r="83" spans="6:8" x14ac:dyDescent="0.3">
      <c r="F83" s="127"/>
      <c r="G83" s="127" t="s">
        <v>356</v>
      </c>
      <c r="H83" s="127">
        <v>3399</v>
      </c>
    </row>
    <row r="84" spans="6:8" x14ac:dyDescent="0.3">
      <c r="F84" s="117" t="s">
        <v>357</v>
      </c>
      <c r="G84" s="117" t="s">
        <v>310</v>
      </c>
      <c r="H84" s="117">
        <v>83</v>
      </c>
    </row>
    <row r="85" spans="6:8" x14ac:dyDescent="0.3">
      <c r="F85" s="117"/>
      <c r="G85" s="117" t="s">
        <v>294</v>
      </c>
      <c r="H85" s="117">
        <v>707.6</v>
      </c>
    </row>
    <row r="86" spans="6:8" x14ac:dyDescent="0.3">
      <c r="F86" s="126" t="s">
        <v>358</v>
      </c>
      <c r="G86" s="126" t="s">
        <v>359</v>
      </c>
      <c r="H86" s="126">
        <v>155</v>
      </c>
    </row>
    <row r="87" spans="6:8" x14ac:dyDescent="0.3">
      <c r="F87" s="128" t="s">
        <v>360</v>
      </c>
      <c r="G87" s="128" t="s">
        <v>361</v>
      </c>
      <c r="H87" s="128">
        <v>475</v>
      </c>
    </row>
    <row r="88" spans="6:8" x14ac:dyDescent="0.3">
      <c r="F88" s="131"/>
      <c r="G88" s="131" t="s">
        <v>345</v>
      </c>
      <c r="H88" s="131">
        <v>4.9800000000000004</v>
      </c>
    </row>
    <row r="89" spans="6:8" x14ac:dyDescent="0.3">
      <c r="F89" s="131"/>
      <c r="G89" s="131" t="s">
        <v>362</v>
      </c>
      <c r="H89" s="131">
        <v>202</v>
      </c>
    </row>
    <row r="90" spans="6:8" x14ac:dyDescent="0.3">
      <c r="F90" s="117" t="s">
        <v>363</v>
      </c>
      <c r="G90" s="117" t="s">
        <v>338</v>
      </c>
      <c r="H90" s="117">
        <v>92.76</v>
      </c>
    </row>
    <row r="91" spans="6:8" x14ac:dyDescent="0.3">
      <c r="F91" s="129" t="s">
        <v>364</v>
      </c>
      <c r="G91" s="129" t="s">
        <v>359</v>
      </c>
      <c r="H91" s="129">
        <v>183</v>
      </c>
    </row>
    <row r="92" spans="6:8" x14ac:dyDescent="0.3">
      <c r="F92" s="130"/>
      <c r="G92" s="130" t="s">
        <v>284</v>
      </c>
      <c r="H92" s="130">
        <v>15</v>
      </c>
    </row>
    <row r="93" spans="6:8" x14ac:dyDescent="0.3">
      <c r="F93" s="130"/>
      <c r="G93" s="130" t="s">
        <v>350</v>
      </c>
      <c r="H93" s="130">
        <v>339.98</v>
      </c>
    </row>
    <row r="94" spans="6:8" x14ac:dyDescent="0.3">
      <c r="F94" s="117" t="s">
        <v>365</v>
      </c>
      <c r="G94" s="117" t="s">
        <v>279</v>
      </c>
      <c r="H94" s="117">
        <v>99</v>
      </c>
    </row>
    <row r="95" spans="6:8" x14ac:dyDescent="0.3">
      <c r="F95" s="107"/>
      <c r="G95" s="107" t="s">
        <v>278</v>
      </c>
      <c r="H95" s="107">
        <v>163.69999999999999</v>
      </c>
    </row>
    <row r="96" spans="6:8" x14ac:dyDescent="0.3">
      <c r="F96" s="107"/>
      <c r="G96" s="107" t="s">
        <v>338</v>
      </c>
      <c r="H96" s="107">
        <v>136.57</v>
      </c>
    </row>
    <row r="97" spans="6:8" x14ac:dyDescent="0.3">
      <c r="F97" s="133" t="s">
        <v>374</v>
      </c>
      <c r="G97" s="133" t="s">
        <v>318</v>
      </c>
      <c r="H97" s="133">
        <v>73</v>
      </c>
    </row>
    <row r="98" spans="6:8" x14ac:dyDescent="0.3">
      <c r="F98" s="132"/>
      <c r="G98" s="132" t="s">
        <v>345</v>
      </c>
      <c r="H98" s="132">
        <v>159.61000000000001</v>
      </c>
    </row>
    <row r="99" spans="6:8" x14ac:dyDescent="0.3">
      <c r="F99" s="132"/>
      <c r="G99" s="132"/>
      <c r="H99" s="132"/>
    </row>
    <row r="100" spans="6:8" x14ac:dyDescent="0.3">
      <c r="F100" s="132"/>
      <c r="G100" s="132"/>
      <c r="H100" s="132"/>
    </row>
    <row r="101" spans="6:8" x14ac:dyDescent="0.3">
      <c r="F101" s="132"/>
      <c r="G101" s="132"/>
      <c r="H101" s="132"/>
    </row>
    <row r="102" spans="6:8" x14ac:dyDescent="0.3">
      <c r="F102" s="132"/>
      <c r="G102" s="132"/>
      <c r="H102" s="132"/>
    </row>
    <row r="103" spans="6:8" x14ac:dyDescent="0.3">
      <c r="F103" s="132"/>
      <c r="G103" s="132"/>
      <c r="H103" s="132"/>
    </row>
    <row r="104" spans="6:8" x14ac:dyDescent="0.3">
      <c r="F104" s="132"/>
      <c r="G104" s="132"/>
      <c r="H104" s="132"/>
    </row>
    <row r="105" spans="6:8" x14ac:dyDescent="0.3">
      <c r="F105" s="132"/>
      <c r="G105" s="132"/>
      <c r="H105" s="132"/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1"/>
  <sheetViews>
    <sheetView topLeftCell="A12" workbookViewId="0">
      <selection sqref="A1:C26"/>
    </sheetView>
  </sheetViews>
  <sheetFormatPr defaultRowHeight="14.4" x14ac:dyDescent="0.3"/>
  <cols>
    <col min="1" max="1" width="25.6640625" customWidth="1"/>
    <col min="2" max="2" width="28.5546875" customWidth="1"/>
    <col min="3" max="3" width="31.44140625" customWidth="1"/>
    <col min="7" max="7" width="17.88671875" customWidth="1"/>
    <col min="8" max="8" width="25" bestFit="1" customWidth="1"/>
    <col min="9" max="9" width="20" customWidth="1"/>
  </cols>
  <sheetData>
    <row r="1" spans="1:9" x14ac:dyDescent="0.3">
      <c r="A1" s="93" t="s">
        <v>366</v>
      </c>
      <c r="B1" s="94" t="s">
        <v>28</v>
      </c>
      <c r="C1" s="93" t="s">
        <v>196</v>
      </c>
      <c r="G1" s="108" t="s">
        <v>270</v>
      </c>
      <c r="H1" s="108"/>
      <c r="I1" s="108"/>
    </row>
    <row r="2" spans="1:9" x14ac:dyDescent="0.3">
      <c r="A2" s="93"/>
      <c r="B2" s="94"/>
      <c r="C2" s="93"/>
      <c r="G2" s="109" t="s">
        <v>271</v>
      </c>
      <c r="H2" s="109" t="s">
        <v>272</v>
      </c>
      <c r="I2" s="109" t="s">
        <v>273</v>
      </c>
    </row>
    <row r="3" spans="1:9" x14ac:dyDescent="0.3">
      <c r="A3" s="96">
        <v>1000</v>
      </c>
      <c r="B3" s="97" t="s">
        <v>237</v>
      </c>
      <c r="C3" s="96" t="s">
        <v>199</v>
      </c>
      <c r="D3" t="s">
        <v>376</v>
      </c>
      <c r="G3" s="155" t="s">
        <v>375</v>
      </c>
      <c r="H3" s="156" t="s">
        <v>262</v>
      </c>
      <c r="I3" s="157">
        <v>604.15</v>
      </c>
    </row>
    <row r="4" spans="1:9" x14ac:dyDescent="0.3">
      <c r="A4" s="96">
        <v>1500</v>
      </c>
      <c r="B4" s="97" t="s">
        <v>267</v>
      </c>
      <c r="C4" s="96" t="s">
        <v>199</v>
      </c>
      <c r="D4" t="s">
        <v>376</v>
      </c>
      <c r="G4" s="155"/>
      <c r="H4" s="156" t="s">
        <v>379</v>
      </c>
      <c r="I4" s="157">
        <v>99</v>
      </c>
    </row>
    <row r="5" spans="1:9" x14ac:dyDescent="0.3">
      <c r="A5" s="96">
        <v>100</v>
      </c>
      <c r="B5" s="97" t="s">
        <v>8</v>
      </c>
      <c r="C5" s="96" t="s">
        <v>199</v>
      </c>
      <c r="D5" t="s">
        <v>376</v>
      </c>
      <c r="G5" s="155"/>
      <c r="H5" s="156" t="s">
        <v>384</v>
      </c>
      <c r="I5" s="157">
        <v>15</v>
      </c>
    </row>
    <row r="6" spans="1:9" x14ac:dyDescent="0.3">
      <c r="A6" s="98">
        <v>3323</v>
      </c>
      <c r="B6" s="99" t="s">
        <v>2</v>
      </c>
      <c r="C6" s="100" t="s">
        <v>198</v>
      </c>
      <c r="D6" t="s">
        <v>376</v>
      </c>
      <c r="G6" s="155"/>
      <c r="H6" s="158" t="s">
        <v>383</v>
      </c>
      <c r="I6" s="157">
        <v>25</v>
      </c>
    </row>
    <row r="7" spans="1:9" x14ac:dyDescent="0.3">
      <c r="A7" s="98">
        <v>1040</v>
      </c>
      <c r="B7" s="99" t="s">
        <v>309</v>
      </c>
      <c r="C7" s="100" t="s">
        <v>198</v>
      </c>
      <c r="D7" t="s">
        <v>376</v>
      </c>
      <c r="G7" s="156"/>
      <c r="H7" s="156" t="s">
        <v>377</v>
      </c>
      <c r="I7" s="157">
        <v>7000</v>
      </c>
    </row>
    <row r="8" spans="1:9" x14ac:dyDescent="0.3">
      <c r="A8" s="98">
        <v>125</v>
      </c>
      <c r="B8" s="99" t="s">
        <v>369</v>
      </c>
      <c r="C8" s="100" t="s">
        <v>198</v>
      </c>
      <c r="D8" t="s">
        <v>376</v>
      </c>
      <c r="G8" s="159" t="s">
        <v>378</v>
      </c>
      <c r="H8" s="142" t="s">
        <v>248</v>
      </c>
      <c r="I8" s="143">
        <v>1500</v>
      </c>
    </row>
    <row r="9" spans="1:9" x14ac:dyDescent="0.3">
      <c r="A9" s="98">
        <v>115</v>
      </c>
      <c r="B9" s="99" t="s">
        <v>370</v>
      </c>
      <c r="C9" s="100" t="s">
        <v>198</v>
      </c>
      <c r="D9" t="s">
        <v>376</v>
      </c>
      <c r="G9" s="142"/>
      <c r="H9" s="142" t="s">
        <v>295</v>
      </c>
      <c r="I9" s="143">
        <v>139</v>
      </c>
    </row>
    <row r="10" spans="1:9" x14ac:dyDescent="0.3">
      <c r="A10" s="98">
        <v>9000</v>
      </c>
      <c r="B10" s="99" t="s">
        <v>371</v>
      </c>
      <c r="C10" s="100" t="s">
        <v>198</v>
      </c>
      <c r="G10" s="142"/>
      <c r="H10" s="142" t="s">
        <v>385</v>
      </c>
      <c r="I10" s="143">
        <v>25</v>
      </c>
    </row>
    <row r="11" spans="1:9" x14ac:dyDescent="0.3">
      <c r="A11" s="98">
        <v>10500</v>
      </c>
      <c r="B11" s="99" t="s">
        <v>17</v>
      </c>
      <c r="C11" s="100" t="s">
        <v>198</v>
      </c>
      <c r="D11" t="s">
        <v>376</v>
      </c>
      <c r="G11" s="142"/>
      <c r="H11" s="142" t="s">
        <v>294</v>
      </c>
      <c r="I11" s="143">
        <v>735</v>
      </c>
    </row>
    <row r="12" spans="1:9" x14ac:dyDescent="0.3">
      <c r="A12" s="98">
        <v>610</v>
      </c>
      <c r="B12" s="99" t="s">
        <v>71</v>
      </c>
      <c r="C12" s="100" t="s">
        <v>198</v>
      </c>
      <c r="D12" t="s">
        <v>376</v>
      </c>
      <c r="G12" s="142"/>
      <c r="H12" s="142" t="s">
        <v>380</v>
      </c>
      <c r="I12" s="143">
        <v>203</v>
      </c>
    </row>
    <row r="13" spans="1:9" x14ac:dyDescent="0.3">
      <c r="A13" s="98">
        <v>970</v>
      </c>
      <c r="B13" s="99" t="s">
        <v>238</v>
      </c>
      <c r="C13" s="100" t="s">
        <v>198</v>
      </c>
      <c r="D13" t="s">
        <v>376</v>
      </c>
      <c r="G13" s="160" t="s">
        <v>381</v>
      </c>
      <c r="H13" s="140" t="s">
        <v>382</v>
      </c>
      <c r="I13" s="141">
        <v>130</v>
      </c>
    </row>
    <row r="14" spans="1:9" x14ac:dyDescent="0.3">
      <c r="A14" s="98">
        <v>770</v>
      </c>
      <c r="B14" s="99" t="s">
        <v>250</v>
      </c>
      <c r="C14" s="100" t="s">
        <v>198</v>
      </c>
      <c r="D14" t="s">
        <v>376</v>
      </c>
      <c r="G14" s="140"/>
      <c r="H14" s="160" t="s">
        <v>292</v>
      </c>
      <c r="I14" s="141">
        <v>274.13</v>
      </c>
    </row>
    <row r="15" spans="1:9" x14ac:dyDescent="0.3">
      <c r="A15" s="98">
        <v>300</v>
      </c>
      <c r="B15" s="99" t="s">
        <v>203</v>
      </c>
      <c r="C15" s="100" t="s">
        <v>198</v>
      </c>
      <c r="D15" t="s">
        <v>376</v>
      </c>
      <c r="G15" s="140"/>
      <c r="H15" s="160" t="s">
        <v>293</v>
      </c>
      <c r="I15" s="141">
        <v>10469</v>
      </c>
    </row>
    <row r="16" spans="1:9" x14ac:dyDescent="0.3">
      <c r="A16" s="134">
        <v>600</v>
      </c>
      <c r="B16" s="135" t="s">
        <v>1</v>
      </c>
      <c r="C16" s="136" t="s">
        <v>373</v>
      </c>
      <c r="G16" s="161" t="s">
        <v>386</v>
      </c>
      <c r="H16" s="162" t="s">
        <v>387</v>
      </c>
      <c r="I16" s="163">
        <v>198</v>
      </c>
    </row>
    <row r="17" spans="1:9" x14ac:dyDescent="0.3">
      <c r="A17" s="134">
        <v>1600</v>
      </c>
      <c r="B17" s="135" t="s">
        <v>191</v>
      </c>
      <c r="C17" s="136" t="s">
        <v>373</v>
      </c>
      <c r="G17" s="164"/>
      <c r="H17" s="162" t="s">
        <v>388</v>
      </c>
      <c r="I17" s="164">
        <v>533</v>
      </c>
    </row>
    <row r="18" spans="1:9" x14ac:dyDescent="0.3">
      <c r="A18" s="134">
        <v>1030</v>
      </c>
      <c r="B18" s="135" t="s">
        <v>367</v>
      </c>
      <c r="C18" s="136" t="s">
        <v>373</v>
      </c>
      <c r="G18" s="164"/>
      <c r="H18" s="162" t="s">
        <v>248</v>
      </c>
      <c r="I18" s="164">
        <v>1000</v>
      </c>
    </row>
    <row r="19" spans="1:9" x14ac:dyDescent="0.3">
      <c r="A19" s="137">
        <v>7000</v>
      </c>
      <c r="B19" s="138" t="s">
        <v>372</v>
      </c>
      <c r="C19" s="139" t="s">
        <v>373</v>
      </c>
      <c r="D19" t="s">
        <v>376</v>
      </c>
      <c r="G19" s="164"/>
      <c r="H19" s="162" t="s">
        <v>351</v>
      </c>
      <c r="I19" s="164">
        <v>17</v>
      </c>
    </row>
    <row r="20" spans="1:9" x14ac:dyDescent="0.3">
      <c r="A20" s="136">
        <v>0</v>
      </c>
      <c r="B20" s="136" t="s">
        <v>269</v>
      </c>
      <c r="C20" s="136" t="s">
        <v>373</v>
      </c>
      <c r="G20" s="165" t="s">
        <v>389</v>
      </c>
      <c r="H20" s="166" t="s">
        <v>390</v>
      </c>
      <c r="I20" s="145">
        <v>109</v>
      </c>
    </row>
    <row r="21" spans="1:9" x14ac:dyDescent="0.3">
      <c r="A21" s="105">
        <v>100</v>
      </c>
      <c r="B21" s="106" t="s">
        <v>258</v>
      </c>
      <c r="C21" s="107" t="s">
        <v>197</v>
      </c>
      <c r="D21" t="s">
        <v>376</v>
      </c>
      <c r="G21" s="144"/>
      <c r="H21" s="144" t="s">
        <v>278</v>
      </c>
      <c r="I21" s="144">
        <v>108</v>
      </c>
    </row>
    <row r="22" spans="1:9" x14ac:dyDescent="0.3">
      <c r="A22" s="105">
        <v>600</v>
      </c>
      <c r="B22" s="106" t="s">
        <v>257</v>
      </c>
      <c r="C22" s="107" t="s">
        <v>197</v>
      </c>
      <c r="G22" s="144"/>
      <c r="H22" s="166" t="s">
        <v>311</v>
      </c>
      <c r="I22" s="144">
        <v>123.44</v>
      </c>
    </row>
    <row r="23" spans="1:9" x14ac:dyDescent="0.3">
      <c r="A23" s="105">
        <v>2000</v>
      </c>
      <c r="B23" s="106" t="s">
        <v>5</v>
      </c>
      <c r="C23" s="107" t="s">
        <v>197</v>
      </c>
      <c r="G23" s="144"/>
      <c r="H23" s="166" t="s">
        <v>312</v>
      </c>
      <c r="I23" s="144">
        <v>3322.84</v>
      </c>
    </row>
    <row r="24" spans="1:9" x14ac:dyDescent="0.3">
      <c r="A24" s="105">
        <v>1200</v>
      </c>
      <c r="B24" s="106" t="s">
        <v>194</v>
      </c>
      <c r="C24" s="107" t="s">
        <v>197</v>
      </c>
      <c r="G24" s="144"/>
      <c r="H24" s="144" t="s">
        <v>310</v>
      </c>
      <c r="I24" s="144">
        <v>962.13</v>
      </c>
    </row>
    <row r="25" spans="1:9" x14ac:dyDescent="0.3">
      <c r="A25" s="105">
        <v>6000</v>
      </c>
      <c r="B25" s="106" t="s">
        <v>13</v>
      </c>
      <c r="C25" s="107" t="s">
        <v>197</v>
      </c>
      <c r="G25" s="144"/>
      <c r="H25" s="144" t="s">
        <v>397</v>
      </c>
      <c r="I25" s="144">
        <v>100</v>
      </c>
    </row>
    <row r="26" spans="1:9" x14ac:dyDescent="0.3">
      <c r="A26" s="105">
        <v>100</v>
      </c>
      <c r="B26" s="106" t="s">
        <v>9</v>
      </c>
      <c r="C26" s="107" t="s">
        <v>197</v>
      </c>
      <c r="G26" s="144"/>
      <c r="H26" s="144" t="s">
        <v>391</v>
      </c>
      <c r="I26" s="144">
        <v>100</v>
      </c>
    </row>
    <row r="27" spans="1:9" x14ac:dyDescent="0.3">
      <c r="G27" s="144"/>
      <c r="H27" s="166" t="s">
        <v>392</v>
      </c>
      <c r="I27" s="144">
        <v>1125</v>
      </c>
    </row>
    <row r="28" spans="1:9" x14ac:dyDescent="0.3">
      <c r="G28" s="155" t="s">
        <v>393</v>
      </c>
      <c r="H28" s="156" t="s">
        <v>394</v>
      </c>
      <c r="I28" s="157">
        <v>63</v>
      </c>
    </row>
    <row r="29" spans="1:9" x14ac:dyDescent="0.3">
      <c r="G29" s="165" t="s">
        <v>395</v>
      </c>
      <c r="H29" s="144" t="s">
        <v>396</v>
      </c>
      <c r="I29" s="145">
        <v>12</v>
      </c>
    </row>
    <row r="30" spans="1:9" x14ac:dyDescent="0.3">
      <c r="G30" s="144"/>
      <c r="H30" s="144" t="s">
        <v>309</v>
      </c>
      <c r="I30" s="144">
        <v>1037.01</v>
      </c>
    </row>
    <row r="31" spans="1:9" x14ac:dyDescent="0.3">
      <c r="G31" s="144"/>
      <c r="H31" s="144" t="s">
        <v>370</v>
      </c>
      <c r="I31" s="144">
        <v>115.84</v>
      </c>
    </row>
    <row r="32" spans="1:9" x14ac:dyDescent="0.3">
      <c r="G32" s="144"/>
      <c r="H32" s="144" t="s">
        <v>281</v>
      </c>
      <c r="I32" s="144">
        <v>1600</v>
      </c>
    </row>
    <row r="33" spans="7:9" x14ac:dyDescent="0.3">
      <c r="G33" s="144"/>
      <c r="H33" s="144" t="s">
        <v>398</v>
      </c>
      <c r="I33" s="144">
        <v>600</v>
      </c>
    </row>
    <row r="34" spans="7:9" x14ac:dyDescent="0.3">
      <c r="G34" s="167" t="s">
        <v>399</v>
      </c>
      <c r="H34" s="168" t="s">
        <v>400</v>
      </c>
      <c r="I34" s="169">
        <v>600</v>
      </c>
    </row>
    <row r="35" spans="7:9" x14ac:dyDescent="0.3">
      <c r="G35" s="168"/>
      <c r="H35" s="168" t="s">
        <v>345</v>
      </c>
      <c r="I35" s="168">
        <v>132</v>
      </c>
    </row>
    <row r="36" spans="7:9" x14ac:dyDescent="0.3">
      <c r="G36" s="168"/>
      <c r="H36" s="168" t="s">
        <v>401</v>
      </c>
      <c r="I36" s="168">
        <v>175</v>
      </c>
    </row>
    <row r="37" spans="7:9" x14ac:dyDescent="0.3">
      <c r="G37" s="168"/>
      <c r="H37" s="168" t="s">
        <v>402</v>
      </c>
      <c r="I37" s="168">
        <v>8897</v>
      </c>
    </row>
    <row r="38" spans="7:9" x14ac:dyDescent="0.3">
      <c r="G38" s="170"/>
      <c r="H38" s="170"/>
      <c r="I38" s="170"/>
    </row>
    <row r="39" spans="7:9" x14ac:dyDescent="0.3">
      <c r="G39" s="171" t="s">
        <v>403</v>
      </c>
      <c r="H39" s="172" t="s">
        <v>401</v>
      </c>
      <c r="I39" s="173">
        <v>206</v>
      </c>
    </row>
    <row r="40" spans="7:9" x14ac:dyDescent="0.3">
      <c r="G40" s="172"/>
      <c r="H40" s="172" t="s">
        <v>404</v>
      </c>
      <c r="I40" s="172">
        <v>735</v>
      </c>
    </row>
    <row r="41" spans="7:9" x14ac:dyDescent="0.3">
      <c r="G41" s="172"/>
      <c r="H41" s="172" t="s">
        <v>405</v>
      </c>
      <c r="I41" s="172">
        <v>551</v>
      </c>
    </row>
    <row r="42" spans="7:9" x14ac:dyDescent="0.3">
      <c r="G42" s="172"/>
      <c r="H42" s="172" t="s">
        <v>244</v>
      </c>
      <c r="I42" s="172">
        <v>1255</v>
      </c>
    </row>
    <row r="43" spans="7:9" x14ac:dyDescent="0.3">
      <c r="G43" s="174" t="s">
        <v>406</v>
      </c>
      <c r="H43" s="175" t="s">
        <v>404</v>
      </c>
      <c r="I43" s="176">
        <v>123</v>
      </c>
    </row>
    <row r="44" spans="7:9" x14ac:dyDescent="0.3">
      <c r="G44" s="175"/>
      <c r="H44" s="175" t="s">
        <v>407</v>
      </c>
      <c r="I44" s="175">
        <v>90</v>
      </c>
    </row>
    <row r="45" spans="7:9" x14ac:dyDescent="0.3">
      <c r="G45" s="177" t="s">
        <v>408</v>
      </c>
      <c r="H45" s="178" t="s">
        <v>346</v>
      </c>
      <c r="I45" s="179">
        <v>75</v>
      </c>
    </row>
    <row r="46" spans="7:9" x14ac:dyDescent="0.3">
      <c r="G46" s="178"/>
      <c r="H46" s="178" t="s">
        <v>409</v>
      </c>
      <c r="I46" s="178">
        <v>116</v>
      </c>
    </row>
    <row r="47" spans="7:9" x14ac:dyDescent="0.3">
      <c r="G47" s="180" t="s">
        <v>410</v>
      </c>
      <c r="H47" s="181" t="s">
        <v>387</v>
      </c>
      <c r="I47" s="182">
        <v>164</v>
      </c>
    </row>
    <row r="48" spans="7:9" x14ac:dyDescent="0.3">
      <c r="G48" s="181"/>
      <c r="H48" s="181" t="s">
        <v>404</v>
      </c>
      <c r="I48" s="181">
        <v>116</v>
      </c>
    </row>
    <row r="49" spans="7:9" x14ac:dyDescent="0.3">
      <c r="G49" s="181"/>
      <c r="H49" s="181" t="s">
        <v>411</v>
      </c>
      <c r="I49" s="181">
        <v>164</v>
      </c>
    </row>
    <row r="50" spans="7:9" x14ac:dyDescent="0.3">
      <c r="G50" s="181"/>
      <c r="H50" s="181" t="s">
        <v>390</v>
      </c>
      <c r="I50" s="181">
        <v>132</v>
      </c>
    </row>
    <row r="51" spans="7:9" x14ac:dyDescent="0.3">
      <c r="G51" s="107" t="s">
        <v>412</v>
      </c>
      <c r="H51" s="73" t="s">
        <v>390</v>
      </c>
      <c r="I51" s="183">
        <v>132</v>
      </c>
    </row>
    <row r="52" spans="7:9" x14ac:dyDescent="0.3">
      <c r="G52" s="73"/>
      <c r="H52" s="73" t="s">
        <v>411</v>
      </c>
      <c r="I52" s="73">
        <v>164</v>
      </c>
    </row>
    <row r="53" spans="7:9" x14ac:dyDescent="0.3">
      <c r="G53" s="73"/>
      <c r="H53" s="73" t="s">
        <v>404</v>
      </c>
      <c r="I53" s="73">
        <v>115</v>
      </c>
    </row>
    <row r="54" spans="7:9" x14ac:dyDescent="0.3">
      <c r="G54" s="73"/>
      <c r="H54" s="73" t="s">
        <v>414</v>
      </c>
      <c r="I54" s="73">
        <v>125</v>
      </c>
    </row>
    <row r="55" spans="7:9" x14ac:dyDescent="0.3">
      <c r="G55" s="73"/>
      <c r="H55" s="73" t="s">
        <v>276</v>
      </c>
      <c r="I55" s="73">
        <v>164</v>
      </c>
    </row>
    <row r="56" spans="7:9" x14ac:dyDescent="0.3">
      <c r="G56" s="147" t="s">
        <v>413</v>
      </c>
      <c r="H56" s="146" t="s">
        <v>415</v>
      </c>
      <c r="I56" s="148">
        <v>84</v>
      </c>
    </row>
    <row r="57" spans="7:9" x14ac:dyDescent="0.3">
      <c r="G57" s="146"/>
      <c r="H57" s="146" t="s">
        <v>294</v>
      </c>
      <c r="I57" s="146">
        <v>714</v>
      </c>
    </row>
    <row r="58" spans="7:9" x14ac:dyDescent="0.3">
      <c r="G58" s="184" t="s">
        <v>416</v>
      </c>
      <c r="H58" s="153" t="s">
        <v>417</v>
      </c>
      <c r="I58" s="185">
        <v>1335</v>
      </c>
    </row>
    <row r="59" spans="7:9" x14ac:dyDescent="0.3">
      <c r="G59" s="153"/>
      <c r="H59" s="153" t="s">
        <v>285</v>
      </c>
      <c r="I59" s="153">
        <v>392</v>
      </c>
    </row>
    <row r="60" spans="7:9" x14ac:dyDescent="0.3">
      <c r="G60" s="150" t="s">
        <v>418</v>
      </c>
      <c r="H60" s="151" t="s">
        <v>419</v>
      </c>
      <c r="I60" s="152">
        <v>100</v>
      </c>
    </row>
    <row r="61" spans="7:9" x14ac:dyDescent="0.3">
      <c r="G61" s="151"/>
      <c r="H61" s="151" t="s">
        <v>404</v>
      </c>
      <c r="I61" s="151">
        <v>1051.48</v>
      </c>
    </row>
    <row r="62" spans="7:9" x14ac:dyDescent="0.3">
      <c r="G62" s="151"/>
      <c r="H62" s="151" t="s">
        <v>345</v>
      </c>
      <c r="I62" s="151">
        <v>200</v>
      </c>
    </row>
    <row r="63" spans="7:9" x14ac:dyDescent="0.3">
      <c r="G63" s="186" t="s">
        <v>420</v>
      </c>
      <c r="H63" s="187" t="s">
        <v>421</v>
      </c>
      <c r="I63" s="188">
        <v>309</v>
      </c>
    </row>
    <row r="64" spans="7:9" x14ac:dyDescent="0.3">
      <c r="G64" s="189" t="s">
        <v>422</v>
      </c>
      <c r="H64" s="149" t="s">
        <v>411</v>
      </c>
      <c r="I64" s="190">
        <v>167</v>
      </c>
    </row>
    <row r="65" spans="7:9" x14ac:dyDescent="0.3">
      <c r="G65" s="149"/>
      <c r="H65" s="149" t="s">
        <v>390</v>
      </c>
      <c r="I65" s="149">
        <v>109</v>
      </c>
    </row>
    <row r="66" spans="7:9" x14ac:dyDescent="0.3">
      <c r="G66" s="184" t="s">
        <v>423</v>
      </c>
      <c r="H66" s="153" t="s">
        <v>404</v>
      </c>
      <c r="I66" s="185">
        <v>384</v>
      </c>
    </row>
    <row r="67" spans="7:9" x14ac:dyDescent="0.3">
      <c r="G67" s="191" t="s">
        <v>424</v>
      </c>
      <c r="H67" s="154" t="s">
        <v>425</v>
      </c>
      <c r="I67" s="192">
        <v>288</v>
      </c>
    </row>
    <row r="68" spans="7:9" x14ac:dyDescent="0.3">
      <c r="G68" s="154"/>
      <c r="H68" s="154" t="s">
        <v>404</v>
      </c>
      <c r="I68" s="154">
        <v>149</v>
      </c>
    </row>
    <row r="69" spans="7:9" x14ac:dyDescent="0.3">
      <c r="G69" s="24"/>
      <c r="H69" s="24"/>
      <c r="I69" s="24"/>
    </row>
    <row r="70" spans="7:9" x14ac:dyDescent="0.3">
      <c r="G70" s="24"/>
      <c r="H70" s="24"/>
      <c r="I70" s="24"/>
    </row>
    <row r="71" spans="7:9" x14ac:dyDescent="0.3">
      <c r="G71" s="24"/>
      <c r="H71" s="24"/>
      <c r="I71" s="24"/>
    </row>
    <row r="72" spans="7:9" x14ac:dyDescent="0.3">
      <c r="G72" s="24"/>
      <c r="H72" s="24"/>
      <c r="I72" s="24"/>
    </row>
    <row r="73" spans="7:9" x14ac:dyDescent="0.3">
      <c r="G73" s="24"/>
      <c r="H73" s="24"/>
      <c r="I73" s="24"/>
    </row>
    <row r="74" spans="7:9" x14ac:dyDescent="0.3">
      <c r="G74" s="24"/>
      <c r="H74" s="24"/>
      <c r="I74" s="24"/>
    </row>
    <row r="75" spans="7:9" x14ac:dyDescent="0.3">
      <c r="G75" s="24"/>
      <c r="H75" s="24"/>
      <c r="I75" s="24"/>
    </row>
    <row r="76" spans="7:9" x14ac:dyDescent="0.3">
      <c r="G76" s="24"/>
      <c r="H76" s="24"/>
      <c r="I76" s="24"/>
    </row>
    <row r="77" spans="7:9" x14ac:dyDescent="0.3">
      <c r="G77" s="24"/>
      <c r="H77" s="24"/>
      <c r="I77" s="24"/>
    </row>
    <row r="78" spans="7:9" x14ac:dyDescent="0.3">
      <c r="G78" s="24"/>
      <c r="H78" s="24"/>
      <c r="I78" s="24"/>
    </row>
    <row r="79" spans="7:9" x14ac:dyDescent="0.3">
      <c r="G79" s="24"/>
      <c r="H79" s="24"/>
      <c r="I79" s="24"/>
    </row>
    <row r="80" spans="7:9" x14ac:dyDescent="0.3">
      <c r="G80" s="24"/>
      <c r="H80" s="24"/>
      <c r="I80" s="24"/>
    </row>
    <row r="81" spans="7:9" x14ac:dyDescent="0.3">
      <c r="G81" s="24"/>
      <c r="H81" s="24"/>
      <c r="I81" s="24"/>
    </row>
    <row r="82" spans="7:9" x14ac:dyDescent="0.3">
      <c r="G82" s="24"/>
      <c r="H82" s="24"/>
      <c r="I82" s="24"/>
    </row>
    <row r="83" spans="7:9" x14ac:dyDescent="0.3">
      <c r="G83" s="24"/>
      <c r="H83" s="24"/>
      <c r="I83" s="24"/>
    </row>
    <row r="84" spans="7:9" x14ac:dyDescent="0.3">
      <c r="G84" s="24"/>
      <c r="H84" s="24"/>
      <c r="I84" s="24"/>
    </row>
    <row r="85" spans="7:9" x14ac:dyDescent="0.3">
      <c r="G85" s="24"/>
      <c r="H85" s="24"/>
      <c r="I85" s="24"/>
    </row>
    <row r="86" spans="7:9" x14ac:dyDescent="0.3">
      <c r="G86" s="24"/>
      <c r="H86" s="24"/>
      <c r="I86" s="24"/>
    </row>
    <row r="87" spans="7:9" x14ac:dyDescent="0.3">
      <c r="G87" s="24"/>
      <c r="H87" s="24"/>
      <c r="I87" s="24"/>
    </row>
    <row r="88" spans="7:9" x14ac:dyDescent="0.3">
      <c r="G88" s="24"/>
      <c r="H88" s="24"/>
      <c r="I88" s="24"/>
    </row>
    <row r="89" spans="7:9" x14ac:dyDescent="0.3">
      <c r="G89" s="24"/>
      <c r="H89" s="24"/>
      <c r="I89" s="24"/>
    </row>
    <row r="90" spans="7:9" x14ac:dyDescent="0.3">
      <c r="G90" s="24"/>
      <c r="H90" s="24"/>
      <c r="I90" s="24"/>
    </row>
    <row r="91" spans="7:9" x14ac:dyDescent="0.3">
      <c r="G91" s="24"/>
      <c r="H91" s="24"/>
      <c r="I91" s="24"/>
    </row>
    <row r="92" spans="7:9" x14ac:dyDescent="0.3">
      <c r="G92" s="24"/>
      <c r="H92" s="24"/>
      <c r="I92" s="24"/>
    </row>
    <row r="93" spans="7:9" x14ac:dyDescent="0.3">
      <c r="G93" s="24"/>
      <c r="H93" s="24"/>
      <c r="I93" s="24"/>
    </row>
    <row r="94" spans="7:9" x14ac:dyDescent="0.3">
      <c r="G94" s="24"/>
      <c r="H94" s="24"/>
      <c r="I94" s="24"/>
    </row>
    <row r="95" spans="7:9" x14ac:dyDescent="0.3">
      <c r="G95" s="24"/>
      <c r="H95" s="24"/>
      <c r="I95" s="24"/>
    </row>
    <row r="96" spans="7:9" x14ac:dyDescent="0.3">
      <c r="G96" s="24"/>
      <c r="H96" s="24"/>
      <c r="I96" s="24"/>
    </row>
    <row r="97" spans="7:9" x14ac:dyDescent="0.3">
      <c r="G97" s="24"/>
      <c r="H97" s="24"/>
      <c r="I97" s="24"/>
    </row>
    <row r="98" spans="7:9" x14ac:dyDescent="0.3">
      <c r="G98" s="24"/>
      <c r="H98" s="24"/>
      <c r="I98" s="24"/>
    </row>
    <row r="99" spans="7:9" x14ac:dyDescent="0.3">
      <c r="G99" s="24"/>
      <c r="H99" s="24"/>
      <c r="I99" s="24"/>
    </row>
    <row r="100" spans="7:9" x14ac:dyDescent="0.3">
      <c r="G100" s="24"/>
      <c r="H100" s="24"/>
      <c r="I100" s="24"/>
    </row>
    <row r="101" spans="7:9" x14ac:dyDescent="0.3">
      <c r="G101" s="24"/>
      <c r="H101" s="24"/>
      <c r="I101" s="24"/>
    </row>
    <row r="102" spans="7:9" x14ac:dyDescent="0.3">
      <c r="G102" s="24"/>
      <c r="H102" s="24"/>
      <c r="I102" s="24"/>
    </row>
    <row r="103" spans="7:9" x14ac:dyDescent="0.3">
      <c r="G103" s="24"/>
      <c r="H103" s="24"/>
      <c r="I103" s="24"/>
    </row>
    <row r="104" spans="7:9" x14ac:dyDescent="0.3">
      <c r="G104" s="24"/>
      <c r="H104" s="24"/>
      <c r="I104" s="24"/>
    </row>
    <row r="105" spans="7:9" x14ac:dyDescent="0.3">
      <c r="G105" s="24"/>
      <c r="H105" s="24"/>
      <c r="I105" s="24"/>
    </row>
    <row r="106" spans="7:9" x14ac:dyDescent="0.3">
      <c r="G106" s="24"/>
      <c r="H106" s="24"/>
      <c r="I106" s="24"/>
    </row>
    <row r="107" spans="7:9" x14ac:dyDescent="0.3">
      <c r="G107" s="24"/>
      <c r="H107" s="24"/>
      <c r="I107" s="24"/>
    </row>
    <row r="108" spans="7:9" x14ac:dyDescent="0.3">
      <c r="G108" s="24"/>
      <c r="H108" s="24"/>
      <c r="I108" s="24"/>
    </row>
    <row r="109" spans="7:9" x14ac:dyDescent="0.3">
      <c r="G109" s="24"/>
      <c r="H109" s="24"/>
      <c r="I109" s="24"/>
    </row>
    <row r="110" spans="7:9" x14ac:dyDescent="0.3">
      <c r="G110" s="24"/>
      <c r="H110" s="24"/>
      <c r="I110" s="24"/>
    </row>
    <row r="111" spans="7:9" x14ac:dyDescent="0.3">
      <c r="G111" s="24"/>
      <c r="H111" s="24"/>
      <c r="I111" s="24"/>
    </row>
    <row r="112" spans="7:9" x14ac:dyDescent="0.3">
      <c r="G112" s="24"/>
      <c r="H112" s="24"/>
      <c r="I112" s="24"/>
    </row>
    <row r="113" spans="7:9" x14ac:dyDescent="0.3">
      <c r="G113" s="24"/>
      <c r="H113" s="24"/>
      <c r="I113" s="24"/>
    </row>
    <row r="114" spans="7:9" x14ac:dyDescent="0.3">
      <c r="G114" s="24"/>
      <c r="H114" s="24"/>
      <c r="I114" s="24"/>
    </row>
    <row r="115" spans="7:9" x14ac:dyDescent="0.3">
      <c r="G115" s="24"/>
      <c r="H115" s="24"/>
      <c r="I115" s="24"/>
    </row>
    <row r="116" spans="7:9" x14ac:dyDescent="0.3">
      <c r="G116" s="24"/>
      <c r="H116" s="24"/>
      <c r="I116" s="24"/>
    </row>
    <row r="117" spans="7:9" x14ac:dyDescent="0.3">
      <c r="G117" s="24"/>
      <c r="H117" s="24"/>
      <c r="I117" s="24"/>
    </row>
    <row r="118" spans="7:9" x14ac:dyDescent="0.3">
      <c r="G118" s="24"/>
      <c r="H118" s="24"/>
      <c r="I118" s="24"/>
    </row>
    <row r="119" spans="7:9" x14ac:dyDescent="0.3">
      <c r="G119" s="24"/>
      <c r="H119" s="24"/>
      <c r="I119" s="24"/>
    </row>
    <row r="120" spans="7:9" x14ac:dyDescent="0.3">
      <c r="G120" s="24"/>
      <c r="H120" s="24"/>
      <c r="I120" s="24"/>
    </row>
    <row r="121" spans="7:9" x14ac:dyDescent="0.3">
      <c r="G121" s="24"/>
      <c r="H121" s="24"/>
      <c r="I121" s="24"/>
    </row>
    <row r="122" spans="7:9" x14ac:dyDescent="0.3">
      <c r="G122" s="24"/>
      <c r="H122" s="24"/>
      <c r="I122" s="24"/>
    </row>
    <row r="123" spans="7:9" x14ac:dyDescent="0.3">
      <c r="G123" s="24"/>
      <c r="H123" s="24"/>
      <c r="I123" s="24"/>
    </row>
    <row r="124" spans="7:9" x14ac:dyDescent="0.3">
      <c r="G124" s="24"/>
      <c r="H124" s="24"/>
      <c r="I124" s="24"/>
    </row>
    <row r="125" spans="7:9" x14ac:dyDescent="0.3">
      <c r="G125" s="24"/>
      <c r="H125" s="24"/>
      <c r="I125" s="24"/>
    </row>
    <row r="126" spans="7:9" x14ac:dyDescent="0.3">
      <c r="G126" s="24"/>
      <c r="H126" s="24"/>
      <c r="I126" s="24"/>
    </row>
    <row r="127" spans="7:9" x14ac:dyDescent="0.3">
      <c r="G127" s="24"/>
      <c r="H127" s="24"/>
      <c r="I127" s="24"/>
    </row>
    <row r="128" spans="7:9" x14ac:dyDescent="0.3">
      <c r="G128" s="24"/>
      <c r="H128" s="24"/>
      <c r="I128" s="24"/>
    </row>
    <row r="129" spans="7:9" x14ac:dyDescent="0.3">
      <c r="G129" s="24"/>
      <c r="H129" s="24"/>
      <c r="I129" s="24"/>
    </row>
    <row r="130" spans="7:9" x14ac:dyDescent="0.3">
      <c r="G130" s="24"/>
      <c r="H130" s="24"/>
      <c r="I130" s="24"/>
    </row>
    <row r="131" spans="7:9" x14ac:dyDescent="0.3">
      <c r="G131" s="24"/>
      <c r="H131" s="24"/>
      <c r="I131" s="24"/>
    </row>
    <row r="132" spans="7:9" x14ac:dyDescent="0.3">
      <c r="G132" s="24"/>
      <c r="H132" s="24"/>
      <c r="I132" s="24"/>
    </row>
    <row r="133" spans="7:9" x14ac:dyDescent="0.3">
      <c r="G133" s="24"/>
      <c r="H133" s="24"/>
      <c r="I133" s="24"/>
    </row>
    <row r="134" spans="7:9" x14ac:dyDescent="0.3">
      <c r="G134" s="24"/>
      <c r="H134" s="24"/>
      <c r="I134" s="24"/>
    </row>
    <row r="135" spans="7:9" x14ac:dyDescent="0.3">
      <c r="G135" s="24"/>
      <c r="H135" s="24"/>
      <c r="I135" s="24"/>
    </row>
    <row r="136" spans="7:9" x14ac:dyDescent="0.3">
      <c r="G136" s="24"/>
      <c r="H136" s="24"/>
      <c r="I136" s="24"/>
    </row>
    <row r="137" spans="7:9" x14ac:dyDescent="0.3">
      <c r="G137" s="24"/>
      <c r="H137" s="24"/>
      <c r="I137" s="24"/>
    </row>
    <row r="138" spans="7:9" x14ac:dyDescent="0.3">
      <c r="G138" s="24"/>
      <c r="H138" s="24"/>
      <c r="I138" s="24"/>
    </row>
    <row r="139" spans="7:9" x14ac:dyDescent="0.3">
      <c r="G139" s="24"/>
      <c r="H139" s="24"/>
      <c r="I139" s="24"/>
    </row>
    <row r="140" spans="7:9" x14ac:dyDescent="0.3">
      <c r="G140" s="24"/>
      <c r="H140" s="24"/>
      <c r="I140" s="24"/>
    </row>
    <row r="141" spans="7:9" x14ac:dyDescent="0.3">
      <c r="G141" s="24"/>
      <c r="H141" s="24"/>
      <c r="I141" s="24"/>
    </row>
    <row r="142" spans="7:9" x14ac:dyDescent="0.3">
      <c r="G142" s="24"/>
      <c r="H142" s="24"/>
      <c r="I142" s="24"/>
    </row>
    <row r="143" spans="7:9" x14ac:dyDescent="0.3">
      <c r="G143" s="24"/>
      <c r="H143" s="24"/>
      <c r="I143" s="24"/>
    </row>
    <row r="144" spans="7:9" x14ac:dyDescent="0.3">
      <c r="G144" s="24"/>
      <c r="H144" s="24"/>
      <c r="I144" s="24"/>
    </row>
    <row r="145" spans="7:9" x14ac:dyDescent="0.3">
      <c r="G145" s="24"/>
      <c r="H145" s="24"/>
      <c r="I145" s="24"/>
    </row>
    <row r="146" spans="7:9" x14ac:dyDescent="0.3">
      <c r="G146" s="24"/>
      <c r="H146" s="24"/>
      <c r="I146" s="24"/>
    </row>
    <row r="147" spans="7:9" x14ac:dyDescent="0.3">
      <c r="G147" s="24"/>
      <c r="H147" s="24"/>
      <c r="I147" s="24"/>
    </row>
    <row r="148" spans="7:9" x14ac:dyDescent="0.3">
      <c r="G148" s="24"/>
      <c r="H148" s="24"/>
      <c r="I148" s="24"/>
    </row>
    <row r="149" spans="7:9" x14ac:dyDescent="0.3">
      <c r="G149" s="24"/>
      <c r="H149" s="24"/>
      <c r="I149" s="24"/>
    </row>
    <row r="150" spans="7:9" x14ac:dyDescent="0.3">
      <c r="G150" s="24"/>
      <c r="H150" s="24"/>
      <c r="I150" s="24"/>
    </row>
    <row r="151" spans="7:9" x14ac:dyDescent="0.3">
      <c r="G151" s="24"/>
      <c r="H151" s="24"/>
      <c r="I151" s="24"/>
    </row>
    <row r="152" spans="7:9" x14ac:dyDescent="0.3">
      <c r="G152" s="24"/>
      <c r="H152" s="24"/>
      <c r="I152" s="24"/>
    </row>
    <row r="153" spans="7:9" x14ac:dyDescent="0.3">
      <c r="G153" s="24"/>
      <c r="H153" s="24"/>
      <c r="I153" s="24"/>
    </row>
    <row r="154" spans="7:9" x14ac:dyDescent="0.3">
      <c r="G154" s="24"/>
      <c r="H154" s="24"/>
      <c r="I154" s="24"/>
    </row>
    <row r="155" spans="7:9" x14ac:dyDescent="0.3">
      <c r="G155" s="24"/>
      <c r="H155" s="24"/>
      <c r="I155" s="24"/>
    </row>
    <row r="156" spans="7:9" x14ac:dyDescent="0.3">
      <c r="G156" s="24"/>
      <c r="H156" s="24"/>
      <c r="I156" s="24"/>
    </row>
    <row r="157" spans="7:9" x14ac:dyDescent="0.3">
      <c r="G157" s="24"/>
      <c r="H157" s="24"/>
      <c r="I157" s="24"/>
    </row>
    <row r="158" spans="7:9" x14ac:dyDescent="0.3">
      <c r="G158" s="24"/>
      <c r="H158" s="24"/>
      <c r="I158" s="24"/>
    </row>
    <row r="159" spans="7:9" x14ac:dyDescent="0.3">
      <c r="G159" s="24"/>
      <c r="H159" s="24"/>
      <c r="I159" s="24"/>
    </row>
    <row r="160" spans="7:9" x14ac:dyDescent="0.3">
      <c r="G160" s="24"/>
      <c r="H160" s="24"/>
      <c r="I160" s="24"/>
    </row>
    <row r="161" spans="7:9" x14ac:dyDescent="0.3">
      <c r="G161" s="24"/>
      <c r="H161" s="24"/>
      <c r="I161" s="24"/>
    </row>
    <row r="162" spans="7:9" x14ac:dyDescent="0.3">
      <c r="G162" s="24"/>
      <c r="H162" s="24"/>
      <c r="I162" s="24"/>
    </row>
    <row r="163" spans="7:9" x14ac:dyDescent="0.3">
      <c r="G163" s="24"/>
      <c r="H163" s="24"/>
      <c r="I163" s="24"/>
    </row>
    <row r="164" spans="7:9" x14ac:dyDescent="0.3">
      <c r="G164" s="24"/>
      <c r="H164" s="24"/>
      <c r="I164" s="24"/>
    </row>
    <row r="165" spans="7:9" x14ac:dyDescent="0.3">
      <c r="G165" s="24"/>
      <c r="H165" s="24"/>
      <c r="I165" s="24"/>
    </row>
    <row r="166" spans="7:9" x14ac:dyDescent="0.3">
      <c r="G166" s="24"/>
      <c r="H166" s="24"/>
      <c r="I166" s="24"/>
    </row>
    <row r="167" spans="7:9" x14ac:dyDescent="0.3">
      <c r="G167" s="24"/>
      <c r="H167" s="24"/>
      <c r="I167" s="24"/>
    </row>
    <row r="168" spans="7:9" x14ac:dyDescent="0.3">
      <c r="G168" s="24"/>
      <c r="H168" s="24"/>
      <c r="I168" s="24"/>
    </row>
    <row r="169" spans="7:9" x14ac:dyDescent="0.3">
      <c r="G169" s="24"/>
      <c r="H169" s="24"/>
      <c r="I169" s="24"/>
    </row>
    <row r="170" spans="7:9" x14ac:dyDescent="0.3">
      <c r="G170" s="24"/>
      <c r="H170" s="24"/>
      <c r="I170" s="24"/>
    </row>
    <row r="171" spans="7:9" x14ac:dyDescent="0.3">
      <c r="G171" s="24"/>
      <c r="H171" s="24"/>
      <c r="I171" s="24"/>
    </row>
    <row r="172" spans="7:9" x14ac:dyDescent="0.3">
      <c r="G172" s="24"/>
      <c r="H172" s="24"/>
      <c r="I172" s="24"/>
    </row>
    <row r="173" spans="7:9" x14ac:dyDescent="0.3">
      <c r="G173" s="24"/>
      <c r="H173" s="24"/>
      <c r="I173" s="24"/>
    </row>
    <row r="174" spans="7:9" x14ac:dyDescent="0.3">
      <c r="G174" s="24"/>
      <c r="H174" s="24"/>
      <c r="I174" s="24"/>
    </row>
    <row r="175" spans="7:9" x14ac:dyDescent="0.3">
      <c r="G175" s="24"/>
      <c r="H175" s="24"/>
      <c r="I175" s="24"/>
    </row>
    <row r="176" spans="7:9" x14ac:dyDescent="0.3">
      <c r="G176" s="24"/>
      <c r="H176" s="24"/>
      <c r="I176" s="24"/>
    </row>
    <row r="177" spans="7:9" x14ac:dyDescent="0.3">
      <c r="G177" s="24"/>
      <c r="H177" s="24"/>
      <c r="I177" s="24"/>
    </row>
    <row r="178" spans="7:9" x14ac:dyDescent="0.3">
      <c r="G178" s="24"/>
      <c r="H178" s="24"/>
      <c r="I178" s="24"/>
    </row>
    <row r="179" spans="7:9" x14ac:dyDescent="0.3">
      <c r="G179" s="24"/>
      <c r="H179" s="24"/>
      <c r="I179" s="24"/>
    </row>
    <row r="180" spans="7:9" x14ac:dyDescent="0.3">
      <c r="G180" s="24"/>
      <c r="H180" s="24"/>
      <c r="I180" s="24"/>
    </row>
    <row r="181" spans="7:9" x14ac:dyDescent="0.3">
      <c r="G181" s="24"/>
      <c r="H181" s="24"/>
      <c r="I181" s="24"/>
    </row>
    <row r="182" spans="7:9" x14ac:dyDescent="0.3">
      <c r="G182" s="24"/>
      <c r="H182" s="24"/>
      <c r="I182" s="24"/>
    </row>
    <row r="183" spans="7:9" x14ac:dyDescent="0.3">
      <c r="G183" s="24"/>
      <c r="H183" s="24"/>
      <c r="I183" s="24"/>
    </row>
    <row r="184" spans="7:9" x14ac:dyDescent="0.3">
      <c r="G184" s="24"/>
      <c r="H184" s="24"/>
      <c r="I184" s="24"/>
    </row>
    <row r="185" spans="7:9" x14ac:dyDescent="0.3">
      <c r="G185" s="24"/>
      <c r="H185" s="24"/>
      <c r="I185" s="24"/>
    </row>
    <row r="186" spans="7:9" x14ac:dyDescent="0.3">
      <c r="G186" s="24"/>
      <c r="H186" s="24"/>
      <c r="I186" s="24"/>
    </row>
    <row r="187" spans="7:9" x14ac:dyDescent="0.3">
      <c r="G187" s="24"/>
      <c r="H187" s="24"/>
      <c r="I187" s="24"/>
    </row>
    <row r="188" spans="7:9" x14ac:dyDescent="0.3">
      <c r="G188" s="24"/>
      <c r="H188" s="24"/>
      <c r="I188" s="24"/>
    </row>
    <row r="189" spans="7:9" x14ac:dyDescent="0.3">
      <c r="G189" s="24"/>
      <c r="H189" s="24"/>
      <c r="I189" s="24"/>
    </row>
    <row r="190" spans="7:9" x14ac:dyDescent="0.3">
      <c r="G190" s="24"/>
      <c r="H190" s="24"/>
      <c r="I190" s="24"/>
    </row>
    <row r="191" spans="7:9" x14ac:dyDescent="0.3">
      <c r="G191" s="24"/>
      <c r="H191" s="24"/>
      <c r="I191" s="24"/>
    </row>
    <row r="192" spans="7:9" x14ac:dyDescent="0.3">
      <c r="G192" s="24"/>
      <c r="H192" s="24"/>
      <c r="I192" s="24"/>
    </row>
    <row r="193" spans="7:9" x14ac:dyDescent="0.3">
      <c r="G193" s="24"/>
      <c r="H193" s="24"/>
      <c r="I193" s="24"/>
    </row>
    <row r="194" spans="7:9" x14ac:dyDescent="0.3">
      <c r="G194" s="24"/>
      <c r="H194" s="24"/>
      <c r="I194" s="24"/>
    </row>
    <row r="195" spans="7:9" x14ac:dyDescent="0.3">
      <c r="G195" s="24"/>
      <c r="H195" s="24"/>
      <c r="I195" s="24"/>
    </row>
    <row r="196" spans="7:9" x14ac:dyDescent="0.3">
      <c r="G196" s="24"/>
      <c r="H196" s="24"/>
      <c r="I196" s="24"/>
    </row>
    <row r="197" spans="7:9" x14ac:dyDescent="0.3">
      <c r="G197" s="24"/>
      <c r="H197" s="24"/>
      <c r="I197" s="24"/>
    </row>
    <row r="198" spans="7:9" x14ac:dyDescent="0.3">
      <c r="G198" s="24"/>
      <c r="H198" s="24"/>
      <c r="I198" s="24"/>
    </row>
    <row r="199" spans="7:9" x14ac:dyDescent="0.3">
      <c r="G199" s="24"/>
      <c r="H199" s="24"/>
      <c r="I199" s="24"/>
    </row>
    <row r="200" spans="7:9" x14ac:dyDescent="0.3">
      <c r="G200" s="24"/>
      <c r="H200" s="24"/>
      <c r="I200" s="24"/>
    </row>
    <row r="201" spans="7:9" x14ac:dyDescent="0.3">
      <c r="G201" s="24"/>
      <c r="H201" s="24"/>
      <c r="I201" s="24"/>
    </row>
    <row r="202" spans="7:9" x14ac:dyDescent="0.3">
      <c r="G202" s="24"/>
      <c r="H202" s="24"/>
      <c r="I202" s="24"/>
    </row>
    <row r="203" spans="7:9" x14ac:dyDescent="0.3">
      <c r="G203" s="24"/>
      <c r="H203" s="24"/>
      <c r="I203" s="24"/>
    </row>
    <row r="204" spans="7:9" x14ac:dyDescent="0.3">
      <c r="G204" s="24"/>
      <c r="H204" s="24"/>
      <c r="I204" s="24"/>
    </row>
    <row r="205" spans="7:9" x14ac:dyDescent="0.3">
      <c r="G205" s="24"/>
      <c r="H205" s="24"/>
      <c r="I205" s="24"/>
    </row>
    <row r="206" spans="7:9" x14ac:dyDescent="0.3">
      <c r="G206" s="24"/>
      <c r="H206" s="24"/>
      <c r="I206" s="24"/>
    </row>
    <row r="207" spans="7:9" x14ac:dyDescent="0.3">
      <c r="G207" s="24"/>
      <c r="H207" s="24"/>
      <c r="I207" s="24"/>
    </row>
    <row r="208" spans="7:9" x14ac:dyDescent="0.3">
      <c r="G208" s="24"/>
      <c r="H208" s="24"/>
      <c r="I208" s="24"/>
    </row>
    <row r="209" spans="7:9" x14ac:dyDescent="0.3">
      <c r="G209" s="24"/>
      <c r="H209" s="24"/>
      <c r="I209" s="24"/>
    </row>
    <row r="210" spans="7:9" x14ac:dyDescent="0.3">
      <c r="G210" s="24"/>
      <c r="H210" s="24"/>
      <c r="I210" s="24"/>
    </row>
    <row r="211" spans="7:9" x14ac:dyDescent="0.3">
      <c r="G211" s="24"/>
      <c r="H211" s="24"/>
      <c r="I211" s="24"/>
    </row>
    <row r="212" spans="7:9" x14ac:dyDescent="0.3">
      <c r="G212" s="24"/>
      <c r="H212" s="24"/>
      <c r="I212" s="24"/>
    </row>
    <row r="213" spans="7:9" x14ac:dyDescent="0.3">
      <c r="G213" s="24"/>
      <c r="H213" s="24"/>
      <c r="I213" s="24"/>
    </row>
    <row r="214" spans="7:9" x14ac:dyDescent="0.3">
      <c r="G214" s="24"/>
      <c r="H214" s="24"/>
      <c r="I214" s="24"/>
    </row>
    <row r="215" spans="7:9" x14ac:dyDescent="0.3">
      <c r="G215" s="24"/>
      <c r="H215" s="24"/>
      <c r="I215" s="24"/>
    </row>
    <row r="216" spans="7:9" x14ac:dyDescent="0.3">
      <c r="G216" s="24"/>
      <c r="H216" s="24"/>
      <c r="I216" s="24"/>
    </row>
    <row r="217" spans="7:9" x14ac:dyDescent="0.3">
      <c r="G217" s="24"/>
      <c r="H217" s="24"/>
      <c r="I217" s="24"/>
    </row>
    <row r="218" spans="7:9" x14ac:dyDescent="0.3">
      <c r="G218" s="24"/>
      <c r="H218" s="24"/>
      <c r="I218" s="24"/>
    </row>
    <row r="219" spans="7:9" x14ac:dyDescent="0.3">
      <c r="G219" s="24"/>
      <c r="H219" s="24"/>
      <c r="I219" s="24"/>
    </row>
    <row r="220" spans="7:9" x14ac:dyDescent="0.3">
      <c r="G220" s="24"/>
      <c r="H220" s="24"/>
      <c r="I220" s="24"/>
    </row>
    <row r="221" spans="7:9" x14ac:dyDescent="0.3">
      <c r="G221" s="24"/>
      <c r="H221" s="24"/>
      <c r="I221" s="24"/>
    </row>
    <row r="222" spans="7:9" x14ac:dyDescent="0.3">
      <c r="G222" s="24"/>
      <c r="H222" s="24"/>
      <c r="I222" s="24"/>
    </row>
    <row r="223" spans="7:9" x14ac:dyDescent="0.3">
      <c r="G223" s="24"/>
      <c r="H223" s="24"/>
      <c r="I223" s="24"/>
    </row>
    <row r="224" spans="7:9" x14ac:dyDescent="0.3">
      <c r="G224" s="24"/>
      <c r="H224" s="24"/>
      <c r="I224" s="24"/>
    </row>
    <row r="225" spans="7:9" x14ac:dyDescent="0.3">
      <c r="G225" s="24"/>
      <c r="H225" s="24"/>
      <c r="I225" s="24"/>
    </row>
    <row r="226" spans="7:9" x14ac:dyDescent="0.3">
      <c r="G226" s="24"/>
      <c r="H226" s="24"/>
      <c r="I226" s="24"/>
    </row>
    <row r="227" spans="7:9" x14ac:dyDescent="0.3">
      <c r="G227" s="24"/>
      <c r="H227" s="24"/>
      <c r="I227" s="24"/>
    </row>
    <row r="228" spans="7:9" x14ac:dyDescent="0.3">
      <c r="G228" s="24"/>
      <c r="H228" s="24"/>
      <c r="I228" s="24"/>
    </row>
    <row r="229" spans="7:9" x14ac:dyDescent="0.3">
      <c r="G229" s="24"/>
      <c r="H229" s="24"/>
      <c r="I229" s="24"/>
    </row>
    <row r="230" spans="7:9" x14ac:dyDescent="0.3">
      <c r="G230" s="24"/>
      <c r="H230" s="24"/>
      <c r="I230" s="24"/>
    </row>
    <row r="231" spans="7:9" x14ac:dyDescent="0.3">
      <c r="G231" s="24"/>
      <c r="H231" s="24"/>
      <c r="I231" s="24"/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4" workbookViewId="0">
      <selection sqref="A1:C26"/>
    </sheetView>
  </sheetViews>
  <sheetFormatPr defaultRowHeight="14.4" x14ac:dyDescent="0.3"/>
  <cols>
    <col min="1" max="1" width="29.5546875" customWidth="1"/>
    <col min="2" max="2" width="23.33203125" customWidth="1"/>
    <col min="3" max="3" width="23.88671875" customWidth="1"/>
  </cols>
  <sheetData>
    <row r="1" spans="1:4" x14ac:dyDescent="0.3">
      <c r="A1" s="93" t="s">
        <v>108</v>
      </c>
      <c r="B1" s="94" t="s">
        <v>28</v>
      </c>
      <c r="C1" s="93" t="s">
        <v>196</v>
      </c>
    </row>
    <row r="2" spans="1:4" x14ac:dyDescent="0.3">
      <c r="A2" s="93"/>
      <c r="B2" s="94"/>
      <c r="C2" s="93"/>
    </row>
    <row r="3" spans="1:4" x14ac:dyDescent="0.3">
      <c r="A3" s="96">
        <v>1000</v>
      </c>
      <c r="B3" s="97" t="s">
        <v>237</v>
      </c>
      <c r="C3" s="96" t="s">
        <v>199</v>
      </c>
    </row>
    <row r="4" spans="1:4" x14ac:dyDescent="0.3">
      <c r="A4" s="96">
        <v>1500</v>
      </c>
      <c r="B4" s="97" t="s">
        <v>267</v>
      </c>
      <c r="C4" s="96" t="s">
        <v>199</v>
      </c>
    </row>
    <row r="5" spans="1:4" x14ac:dyDescent="0.3">
      <c r="A5" s="96">
        <v>100</v>
      </c>
      <c r="B5" s="97" t="s">
        <v>8</v>
      </c>
      <c r="C5" s="96" t="s">
        <v>199</v>
      </c>
    </row>
    <row r="6" spans="1:4" x14ac:dyDescent="0.3">
      <c r="A6" s="98">
        <v>3323</v>
      </c>
      <c r="B6" s="99" t="s">
        <v>2</v>
      </c>
      <c r="C6" s="100" t="s">
        <v>198</v>
      </c>
    </row>
    <row r="7" spans="1:4" x14ac:dyDescent="0.3">
      <c r="A7" s="98">
        <v>1040</v>
      </c>
      <c r="B7" s="99" t="s">
        <v>309</v>
      </c>
      <c r="C7" s="100" t="s">
        <v>198</v>
      </c>
    </row>
    <row r="8" spans="1:4" x14ac:dyDescent="0.3">
      <c r="A8" s="98">
        <v>125</v>
      </c>
      <c r="B8" s="99" t="s">
        <v>369</v>
      </c>
      <c r="C8" s="100" t="s">
        <v>198</v>
      </c>
    </row>
    <row r="9" spans="1:4" x14ac:dyDescent="0.3">
      <c r="A9" s="98">
        <v>115</v>
      </c>
      <c r="B9" s="99" t="s">
        <v>370</v>
      </c>
      <c r="C9" s="100" t="s">
        <v>198</v>
      </c>
    </row>
    <row r="10" spans="1:4" x14ac:dyDescent="0.3">
      <c r="A10" s="98">
        <v>9000</v>
      </c>
      <c r="B10" s="99" t="s">
        <v>371</v>
      </c>
      <c r="C10" s="100" t="s">
        <v>198</v>
      </c>
    </row>
    <row r="11" spans="1:4" x14ac:dyDescent="0.3">
      <c r="A11" s="98">
        <v>10500</v>
      </c>
      <c r="B11" s="99" t="s">
        <v>17</v>
      </c>
      <c r="C11" s="100" t="s">
        <v>198</v>
      </c>
    </row>
    <row r="12" spans="1:4" x14ac:dyDescent="0.3">
      <c r="A12" s="98">
        <v>610</v>
      </c>
      <c r="B12" s="99" t="s">
        <v>71</v>
      </c>
      <c r="C12" s="100" t="s">
        <v>198</v>
      </c>
      <c r="D12" t="s">
        <v>376</v>
      </c>
    </row>
    <row r="13" spans="1:4" x14ac:dyDescent="0.3">
      <c r="A13" s="98">
        <v>970</v>
      </c>
      <c r="B13" s="99" t="s">
        <v>238</v>
      </c>
      <c r="C13" s="100" t="s">
        <v>198</v>
      </c>
    </row>
    <row r="14" spans="1:4" x14ac:dyDescent="0.3">
      <c r="A14" s="98">
        <v>770</v>
      </c>
      <c r="B14" s="99" t="s">
        <v>250</v>
      </c>
      <c r="C14" s="100" t="s">
        <v>198</v>
      </c>
    </row>
    <row r="15" spans="1:4" x14ac:dyDescent="0.3">
      <c r="A15" s="98">
        <v>300</v>
      </c>
      <c r="B15" s="99" t="s">
        <v>203</v>
      </c>
      <c r="C15" s="100" t="s">
        <v>198</v>
      </c>
    </row>
    <row r="16" spans="1:4" x14ac:dyDescent="0.3">
      <c r="A16" s="134">
        <v>600</v>
      </c>
      <c r="B16" s="135" t="s">
        <v>1</v>
      </c>
      <c r="C16" s="136" t="s">
        <v>373</v>
      </c>
    </row>
    <row r="17" spans="1:4" x14ac:dyDescent="0.3">
      <c r="A17" s="134">
        <v>1600</v>
      </c>
      <c r="B17" s="135" t="s">
        <v>191</v>
      </c>
      <c r="C17" s="136" t="s">
        <v>373</v>
      </c>
      <c r="D17" t="s">
        <v>376</v>
      </c>
    </row>
    <row r="18" spans="1:4" x14ac:dyDescent="0.3">
      <c r="A18" s="134">
        <v>1130</v>
      </c>
      <c r="B18" s="135" t="s">
        <v>367</v>
      </c>
      <c r="C18" s="136" t="s">
        <v>373</v>
      </c>
      <c r="D18" t="s">
        <v>376</v>
      </c>
    </row>
    <row r="19" spans="1:4" x14ac:dyDescent="0.3">
      <c r="A19" s="137">
        <v>3000</v>
      </c>
      <c r="B19" s="138" t="s">
        <v>372</v>
      </c>
      <c r="C19" s="139" t="s">
        <v>373</v>
      </c>
      <c r="D19" t="s">
        <v>376</v>
      </c>
    </row>
    <row r="20" spans="1:4" x14ac:dyDescent="0.3">
      <c r="A20" s="136">
        <v>0</v>
      </c>
      <c r="B20" s="136" t="s">
        <v>269</v>
      </c>
      <c r="C20" s="136" t="s">
        <v>373</v>
      </c>
    </row>
    <row r="21" spans="1:4" x14ac:dyDescent="0.3">
      <c r="A21" s="105">
        <v>100</v>
      </c>
      <c r="B21" s="106" t="s">
        <v>258</v>
      </c>
      <c r="C21" s="107" t="s">
        <v>197</v>
      </c>
    </row>
    <row r="22" spans="1:4" x14ac:dyDescent="0.3">
      <c r="A22" s="105">
        <v>600</v>
      </c>
      <c r="B22" s="106" t="s">
        <v>257</v>
      </c>
      <c r="C22" s="107" t="s">
        <v>197</v>
      </c>
    </row>
    <row r="23" spans="1:4" x14ac:dyDescent="0.3">
      <c r="A23" s="105">
        <v>2000</v>
      </c>
      <c r="B23" s="106" t="s">
        <v>5</v>
      </c>
      <c r="C23" s="107" t="s">
        <v>197</v>
      </c>
    </row>
    <row r="24" spans="1:4" x14ac:dyDescent="0.3">
      <c r="A24" s="105">
        <v>1200</v>
      </c>
      <c r="B24" s="106" t="s">
        <v>194</v>
      </c>
      <c r="C24" s="107" t="s">
        <v>197</v>
      </c>
    </row>
    <row r="25" spans="1:4" x14ac:dyDescent="0.3">
      <c r="A25" s="105">
        <v>6000</v>
      </c>
      <c r="B25" s="106" t="s">
        <v>13</v>
      </c>
      <c r="C25" s="107" t="s">
        <v>197</v>
      </c>
    </row>
    <row r="26" spans="1:4" x14ac:dyDescent="0.3">
      <c r="A26" s="105">
        <v>100</v>
      </c>
      <c r="B26" s="106" t="s">
        <v>9</v>
      </c>
      <c r="C26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3" workbookViewId="0">
      <selection sqref="A1:C26"/>
    </sheetView>
  </sheetViews>
  <sheetFormatPr defaultRowHeight="14.4" x14ac:dyDescent="0.3"/>
  <cols>
    <col min="1" max="1" width="30.6640625" customWidth="1"/>
    <col min="2" max="2" width="29.109375" customWidth="1"/>
    <col min="3" max="3" width="36.33203125" customWidth="1"/>
  </cols>
  <sheetData>
    <row r="1" spans="1:3" x14ac:dyDescent="0.3">
      <c r="A1" s="93" t="s">
        <v>180</v>
      </c>
      <c r="B1" s="94" t="s">
        <v>28</v>
      </c>
      <c r="C1" s="93" t="s">
        <v>196</v>
      </c>
    </row>
    <row r="2" spans="1:3" x14ac:dyDescent="0.3">
      <c r="A2" s="93"/>
      <c r="B2" s="94"/>
      <c r="C2" s="93"/>
    </row>
    <row r="3" spans="1:3" x14ac:dyDescent="0.3">
      <c r="A3" s="96">
        <v>1000</v>
      </c>
      <c r="B3" s="97" t="s">
        <v>237</v>
      </c>
      <c r="C3" s="96" t="s">
        <v>199</v>
      </c>
    </row>
    <row r="4" spans="1:3" x14ac:dyDescent="0.3">
      <c r="A4" s="96">
        <v>1500</v>
      </c>
      <c r="B4" s="97" t="s">
        <v>267</v>
      </c>
      <c r="C4" s="96" t="s">
        <v>199</v>
      </c>
    </row>
    <row r="5" spans="1:3" x14ac:dyDescent="0.3">
      <c r="A5" s="96">
        <v>100</v>
      </c>
      <c r="B5" s="97" t="s">
        <v>8</v>
      </c>
      <c r="C5" s="96" t="s">
        <v>199</v>
      </c>
    </row>
    <row r="6" spans="1:3" x14ac:dyDescent="0.3">
      <c r="A6" s="98">
        <v>3323</v>
      </c>
      <c r="B6" s="99" t="s">
        <v>2</v>
      </c>
      <c r="C6" s="100" t="s">
        <v>198</v>
      </c>
    </row>
    <row r="7" spans="1:3" x14ac:dyDescent="0.3">
      <c r="A7" s="98">
        <v>1040</v>
      </c>
      <c r="B7" s="99" t="s">
        <v>309</v>
      </c>
      <c r="C7" s="100" t="s">
        <v>198</v>
      </c>
    </row>
    <row r="8" spans="1:3" x14ac:dyDescent="0.3">
      <c r="A8" s="98">
        <v>125</v>
      </c>
      <c r="B8" s="99" t="s">
        <v>369</v>
      </c>
      <c r="C8" s="100" t="s">
        <v>198</v>
      </c>
    </row>
    <row r="9" spans="1:3" x14ac:dyDescent="0.3">
      <c r="A9" s="98">
        <v>115</v>
      </c>
      <c r="B9" s="99" t="s">
        <v>370</v>
      </c>
      <c r="C9" s="100" t="s">
        <v>198</v>
      </c>
    </row>
    <row r="10" spans="1:3" x14ac:dyDescent="0.3">
      <c r="A10" s="98">
        <v>9000</v>
      </c>
      <c r="B10" s="99" t="s">
        <v>371</v>
      </c>
      <c r="C10" s="100" t="s">
        <v>198</v>
      </c>
    </row>
    <row r="11" spans="1:3" x14ac:dyDescent="0.3">
      <c r="A11" s="98">
        <v>9900</v>
      </c>
      <c r="B11" s="99" t="s">
        <v>17</v>
      </c>
      <c r="C11" s="100" t="s">
        <v>198</v>
      </c>
    </row>
    <row r="12" spans="1:3" x14ac:dyDescent="0.3">
      <c r="A12" s="98">
        <v>610</v>
      </c>
      <c r="B12" s="99" t="s">
        <v>71</v>
      </c>
      <c r="C12" s="100" t="s">
        <v>198</v>
      </c>
    </row>
    <row r="13" spans="1:3" x14ac:dyDescent="0.3">
      <c r="A13" s="98">
        <v>0</v>
      </c>
      <c r="B13" s="99" t="s">
        <v>238</v>
      </c>
      <c r="C13" s="100" t="s">
        <v>198</v>
      </c>
    </row>
    <row r="14" spans="1:3" x14ac:dyDescent="0.3">
      <c r="A14" s="98">
        <v>770</v>
      </c>
      <c r="B14" s="99" t="s">
        <v>250</v>
      </c>
      <c r="C14" s="100" t="s">
        <v>198</v>
      </c>
    </row>
    <row r="15" spans="1:3" x14ac:dyDescent="0.3">
      <c r="A15" s="98">
        <v>300</v>
      </c>
      <c r="B15" s="99" t="s">
        <v>203</v>
      </c>
      <c r="C15" s="100" t="s">
        <v>198</v>
      </c>
    </row>
    <row r="16" spans="1:3" x14ac:dyDescent="0.3">
      <c r="A16" s="134">
        <v>600</v>
      </c>
      <c r="B16" s="135" t="s">
        <v>1</v>
      </c>
      <c r="C16" s="136" t="s">
        <v>373</v>
      </c>
    </row>
    <row r="17" spans="1:3" x14ac:dyDescent="0.3">
      <c r="A17" s="134">
        <v>1600</v>
      </c>
      <c r="B17" s="135" t="s">
        <v>191</v>
      </c>
      <c r="C17" s="136" t="s">
        <v>373</v>
      </c>
    </row>
    <row r="18" spans="1:3" x14ac:dyDescent="0.3">
      <c r="A18" s="134">
        <v>1130</v>
      </c>
      <c r="B18" s="135" t="s">
        <v>367</v>
      </c>
      <c r="C18" s="136" t="s">
        <v>373</v>
      </c>
    </row>
    <row r="19" spans="1:3" x14ac:dyDescent="0.3">
      <c r="A19" s="137">
        <v>3000</v>
      </c>
      <c r="B19" s="138" t="s">
        <v>372</v>
      </c>
      <c r="C19" s="139" t="s">
        <v>373</v>
      </c>
    </row>
    <row r="20" spans="1:3" x14ac:dyDescent="0.3">
      <c r="A20" s="134">
        <v>975</v>
      </c>
      <c r="B20" s="136" t="s">
        <v>269</v>
      </c>
      <c r="C20" s="136" t="s">
        <v>373</v>
      </c>
    </row>
    <row r="21" spans="1:3" x14ac:dyDescent="0.3">
      <c r="A21" s="105">
        <v>100</v>
      </c>
      <c r="B21" s="106" t="s">
        <v>258</v>
      </c>
      <c r="C21" s="107" t="s">
        <v>197</v>
      </c>
    </row>
    <row r="22" spans="1:3" x14ac:dyDescent="0.3">
      <c r="A22" s="105">
        <v>600</v>
      </c>
      <c r="B22" s="106" t="s">
        <v>257</v>
      </c>
      <c r="C22" s="107" t="s">
        <v>197</v>
      </c>
    </row>
    <row r="23" spans="1:3" x14ac:dyDescent="0.3">
      <c r="A23" s="105">
        <v>2000</v>
      </c>
      <c r="B23" s="106" t="s">
        <v>5</v>
      </c>
      <c r="C23" s="107" t="s">
        <v>197</v>
      </c>
    </row>
    <row r="24" spans="1:3" x14ac:dyDescent="0.3">
      <c r="A24" s="105">
        <v>1200</v>
      </c>
      <c r="B24" s="106" t="s">
        <v>194</v>
      </c>
      <c r="C24" s="107" t="s">
        <v>197</v>
      </c>
    </row>
    <row r="25" spans="1:3" x14ac:dyDescent="0.3">
      <c r="A25" s="105">
        <v>6000</v>
      </c>
      <c r="B25" s="106" t="s">
        <v>13</v>
      </c>
      <c r="C25" s="107" t="s">
        <v>197</v>
      </c>
    </row>
    <row r="26" spans="1:3" x14ac:dyDescent="0.3">
      <c r="A26" s="105">
        <v>100</v>
      </c>
      <c r="B26" s="106" t="s">
        <v>9</v>
      </c>
      <c r="C26" s="107" t="s">
        <v>197</v>
      </c>
    </row>
  </sheetData>
  <pageMargins left="0.7" right="0.7" top="0.75" bottom="0.75" header="0.3" footer="0.3"/>
  <pageSetup paperSize="9" orientation="portrait" horizontalDpi="4294967293" r:id="rId1"/>
  <headerFooter>
    <oddHeader>&amp;L&amp;"CorpoS"&amp;10&amp;K000000Internal&amp;1#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5" workbookViewId="0">
      <selection sqref="A1:C26"/>
    </sheetView>
  </sheetViews>
  <sheetFormatPr defaultRowHeight="14.4" x14ac:dyDescent="0.3"/>
  <cols>
    <col min="1" max="1" width="26.109375" customWidth="1"/>
    <col min="2" max="2" width="48.33203125" customWidth="1"/>
    <col min="3" max="3" width="34" customWidth="1"/>
  </cols>
  <sheetData>
    <row r="1" spans="1:3" x14ac:dyDescent="0.3">
      <c r="A1" s="93" t="s">
        <v>180</v>
      </c>
      <c r="B1" s="94" t="s">
        <v>28</v>
      </c>
      <c r="C1" s="93" t="s">
        <v>196</v>
      </c>
    </row>
    <row r="2" spans="1:3" x14ac:dyDescent="0.3">
      <c r="A2" s="93"/>
      <c r="B2" s="94"/>
      <c r="C2" s="93"/>
    </row>
    <row r="3" spans="1:3" x14ac:dyDescent="0.3">
      <c r="A3" s="96">
        <v>500</v>
      </c>
      <c r="B3" s="97" t="s">
        <v>237</v>
      </c>
      <c r="C3" s="96" t="s">
        <v>199</v>
      </c>
    </row>
    <row r="4" spans="1:3" x14ac:dyDescent="0.3">
      <c r="A4" s="96">
        <v>1500</v>
      </c>
      <c r="B4" s="97" t="s">
        <v>267</v>
      </c>
      <c r="C4" s="96" t="s">
        <v>199</v>
      </c>
    </row>
    <row r="5" spans="1:3" x14ac:dyDescent="0.3">
      <c r="A5" s="96">
        <v>100</v>
      </c>
      <c r="B5" s="97" t="s">
        <v>8</v>
      </c>
      <c r="C5" s="96" t="s">
        <v>199</v>
      </c>
    </row>
    <row r="6" spans="1:3" x14ac:dyDescent="0.3">
      <c r="A6" s="98">
        <v>3323</v>
      </c>
      <c r="B6" s="99" t="s">
        <v>2</v>
      </c>
      <c r="C6" s="100" t="s">
        <v>198</v>
      </c>
    </row>
    <row r="7" spans="1:3" x14ac:dyDescent="0.3">
      <c r="A7" s="98">
        <v>1040</v>
      </c>
      <c r="B7" s="99" t="s">
        <v>309</v>
      </c>
      <c r="C7" s="100" t="s">
        <v>198</v>
      </c>
    </row>
    <row r="8" spans="1:3" x14ac:dyDescent="0.3">
      <c r="A8" s="98">
        <v>125</v>
      </c>
      <c r="B8" s="99" t="s">
        <v>369</v>
      </c>
      <c r="C8" s="100" t="s">
        <v>198</v>
      </c>
    </row>
    <row r="9" spans="1:3" x14ac:dyDescent="0.3">
      <c r="A9" s="98">
        <v>115</v>
      </c>
      <c r="B9" s="99" t="s">
        <v>370</v>
      </c>
      <c r="C9" s="100" t="s">
        <v>198</v>
      </c>
    </row>
    <row r="10" spans="1:3" x14ac:dyDescent="0.3">
      <c r="A10" s="98">
        <v>9000</v>
      </c>
      <c r="B10" s="99" t="s">
        <v>371</v>
      </c>
      <c r="C10" s="100" t="s">
        <v>198</v>
      </c>
    </row>
    <row r="11" spans="1:3" x14ac:dyDescent="0.3">
      <c r="A11" s="98">
        <v>9100</v>
      </c>
      <c r="B11" s="99" t="s">
        <v>17</v>
      </c>
      <c r="C11" s="100" t="s">
        <v>198</v>
      </c>
    </row>
    <row r="12" spans="1:3" x14ac:dyDescent="0.3">
      <c r="A12" s="98">
        <v>810</v>
      </c>
      <c r="B12" s="99" t="s">
        <v>71</v>
      </c>
      <c r="C12" s="100" t="s">
        <v>198</v>
      </c>
    </row>
    <row r="13" spans="1:3" x14ac:dyDescent="0.3">
      <c r="A13" s="98">
        <v>0</v>
      </c>
      <c r="B13" s="99" t="s">
        <v>238</v>
      </c>
      <c r="C13" s="100" t="s">
        <v>198</v>
      </c>
    </row>
    <row r="14" spans="1:3" x14ac:dyDescent="0.3">
      <c r="A14" s="98">
        <v>770</v>
      </c>
      <c r="B14" s="99" t="s">
        <v>250</v>
      </c>
      <c r="C14" s="100" t="s">
        <v>198</v>
      </c>
    </row>
    <row r="15" spans="1:3" x14ac:dyDescent="0.3">
      <c r="A15" s="98">
        <v>300</v>
      </c>
      <c r="B15" s="99" t="s">
        <v>203</v>
      </c>
      <c r="C15" s="100" t="s">
        <v>198</v>
      </c>
    </row>
    <row r="16" spans="1:3" x14ac:dyDescent="0.3">
      <c r="A16" s="134">
        <v>700</v>
      </c>
      <c r="B16" s="135" t="s">
        <v>1</v>
      </c>
      <c r="C16" s="136" t="s">
        <v>373</v>
      </c>
    </row>
    <row r="17" spans="1:3" x14ac:dyDescent="0.3">
      <c r="A17" s="134">
        <v>1700</v>
      </c>
      <c r="B17" s="135" t="s">
        <v>191</v>
      </c>
      <c r="C17" s="136" t="s">
        <v>373</v>
      </c>
    </row>
    <row r="18" spans="1:3" x14ac:dyDescent="0.3">
      <c r="A18" s="134">
        <v>0</v>
      </c>
      <c r="B18" s="135" t="s">
        <v>367</v>
      </c>
      <c r="C18" s="136" t="s">
        <v>373</v>
      </c>
    </row>
    <row r="19" spans="1:3" x14ac:dyDescent="0.3">
      <c r="A19" s="137">
        <v>3000</v>
      </c>
      <c r="B19" s="138" t="s">
        <v>372</v>
      </c>
      <c r="C19" s="139" t="s">
        <v>373</v>
      </c>
    </row>
    <row r="20" spans="1:3" x14ac:dyDescent="0.3">
      <c r="A20" s="134">
        <v>0</v>
      </c>
      <c r="B20" s="136" t="s">
        <v>269</v>
      </c>
      <c r="C20" s="136" t="s">
        <v>373</v>
      </c>
    </row>
    <row r="21" spans="1:3" x14ac:dyDescent="0.3">
      <c r="A21" s="105">
        <v>150</v>
      </c>
      <c r="B21" s="106" t="s">
        <v>258</v>
      </c>
      <c r="C21" s="107" t="s">
        <v>197</v>
      </c>
    </row>
    <row r="22" spans="1:3" x14ac:dyDescent="0.3">
      <c r="A22" s="105">
        <v>600</v>
      </c>
      <c r="B22" s="106" t="s">
        <v>257</v>
      </c>
      <c r="C22" s="107" t="s">
        <v>197</v>
      </c>
    </row>
    <row r="23" spans="1:3" x14ac:dyDescent="0.3">
      <c r="A23" s="105">
        <v>1000</v>
      </c>
      <c r="B23" s="106" t="s">
        <v>5</v>
      </c>
      <c r="C23" s="107" t="s">
        <v>197</v>
      </c>
    </row>
    <row r="24" spans="1:3" x14ac:dyDescent="0.3">
      <c r="A24" s="105">
        <v>1200</v>
      </c>
      <c r="B24" s="106" t="s">
        <v>194</v>
      </c>
      <c r="C24" s="107" t="s">
        <v>197</v>
      </c>
    </row>
    <row r="25" spans="1:3" x14ac:dyDescent="0.3">
      <c r="A25" s="105">
        <v>6000</v>
      </c>
      <c r="B25" s="106" t="s">
        <v>13</v>
      </c>
      <c r="C25" s="107" t="s">
        <v>197</v>
      </c>
    </row>
    <row r="26" spans="1:3" x14ac:dyDescent="0.3">
      <c r="A26" s="105">
        <v>0</v>
      </c>
      <c r="B26" s="106" t="s">
        <v>9</v>
      </c>
      <c r="C26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4" workbookViewId="0">
      <selection sqref="A1:C26"/>
    </sheetView>
  </sheetViews>
  <sheetFormatPr defaultRowHeight="14.4" x14ac:dyDescent="0.3"/>
  <cols>
    <col min="1" max="1" width="43.109375" customWidth="1"/>
    <col min="2" max="2" width="35.33203125" customWidth="1"/>
    <col min="3" max="3" width="47.5546875" customWidth="1"/>
  </cols>
  <sheetData>
    <row r="1" spans="1:3" x14ac:dyDescent="0.3">
      <c r="A1" s="93" t="s">
        <v>188</v>
      </c>
      <c r="B1" s="94" t="s">
        <v>28</v>
      </c>
      <c r="C1" s="93" t="s">
        <v>196</v>
      </c>
    </row>
    <row r="2" spans="1:3" x14ac:dyDescent="0.3">
      <c r="A2" s="93"/>
      <c r="B2" s="94"/>
      <c r="C2" s="93"/>
    </row>
    <row r="3" spans="1:3" x14ac:dyDescent="0.3">
      <c r="A3" s="96">
        <v>500</v>
      </c>
      <c r="B3" s="97" t="s">
        <v>237</v>
      </c>
      <c r="C3" s="96" t="s">
        <v>199</v>
      </c>
    </row>
    <row r="4" spans="1:3" x14ac:dyDescent="0.3">
      <c r="A4" s="96">
        <v>1500</v>
      </c>
      <c r="B4" s="97" t="s">
        <v>267</v>
      </c>
      <c r="C4" s="96" t="s">
        <v>199</v>
      </c>
    </row>
    <row r="5" spans="1:3" x14ac:dyDescent="0.3">
      <c r="A5" s="96">
        <v>100</v>
      </c>
      <c r="B5" s="97" t="s">
        <v>8</v>
      </c>
      <c r="C5" s="96" t="s">
        <v>199</v>
      </c>
    </row>
    <row r="6" spans="1:3" x14ac:dyDescent="0.3">
      <c r="A6" s="98">
        <v>3323</v>
      </c>
      <c r="B6" s="99" t="s">
        <v>2</v>
      </c>
      <c r="C6" s="100" t="s">
        <v>198</v>
      </c>
    </row>
    <row r="7" spans="1:3" x14ac:dyDescent="0.3">
      <c r="A7" s="98">
        <v>1040</v>
      </c>
      <c r="B7" s="99" t="s">
        <v>309</v>
      </c>
      <c r="C7" s="100" t="s">
        <v>198</v>
      </c>
    </row>
    <row r="8" spans="1:3" x14ac:dyDescent="0.3">
      <c r="A8" s="98">
        <v>125</v>
      </c>
      <c r="B8" s="99" t="s">
        <v>369</v>
      </c>
      <c r="C8" s="100" t="s">
        <v>198</v>
      </c>
    </row>
    <row r="9" spans="1:3" x14ac:dyDescent="0.3">
      <c r="A9" s="98">
        <v>115</v>
      </c>
      <c r="B9" s="99" t="s">
        <v>370</v>
      </c>
      <c r="C9" s="100" t="s">
        <v>198</v>
      </c>
    </row>
    <row r="10" spans="1:3" x14ac:dyDescent="0.3">
      <c r="A10" s="98">
        <v>9000</v>
      </c>
      <c r="B10" s="99" t="s">
        <v>371</v>
      </c>
      <c r="C10" s="100" t="s">
        <v>198</v>
      </c>
    </row>
    <row r="11" spans="1:3" x14ac:dyDescent="0.3">
      <c r="A11" s="98">
        <v>9100</v>
      </c>
      <c r="B11" s="99" t="s">
        <v>17</v>
      </c>
      <c r="C11" s="100" t="s">
        <v>198</v>
      </c>
    </row>
    <row r="12" spans="1:3" x14ac:dyDescent="0.3">
      <c r="A12" s="98">
        <v>810</v>
      </c>
      <c r="B12" s="99" t="s">
        <v>71</v>
      </c>
      <c r="C12" s="100" t="s">
        <v>198</v>
      </c>
    </row>
    <row r="13" spans="1:3" x14ac:dyDescent="0.3">
      <c r="A13" s="98">
        <v>0</v>
      </c>
      <c r="B13" s="99" t="s">
        <v>238</v>
      </c>
      <c r="C13" s="100" t="s">
        <v>198</v>
      </c>
    </row>
    <row r="14" spans="1:3" x14ac:dyDescent="0.3">
      <c r="A14" s="98">
        <v>770</v>
      </c>
      <c r="B14" s="99" t="s">
        <v>250</v>
      </c>
      <c r="C14" s="100" t="s">
        <v>198</v>
      </c>
    </row>
    <row r="15" spans="1:3" x14ac:dyDescent="0.3">
      <c r="A15" s="98">
        <v>300</v>
      </c>
      <c r="B15" s="99" t="s">
        <v>203</v>
      </c>
      <c r="C15" s="100" t="s">
        <v>198</v>
      </c>
    </row>
    <row r="16" spans="1:3" x14ac:dyDescent="0.3">
      <c r="A16" s="134">
        <v>900</v>
      </c>
      <c r="B16" s="135" t="s">
        <v>1</v>
      </c>
      <c r="C16" s="136" t="s">
        <v>373</v>
      </c>
    </row>
    <row r="17" spans="1:3" x14ac:dyDescent="0.3">
      <c r="A17" s="134">
        <v>2300</v>
      </c>
      <c r="B17" s="135" t="s">
        <v>191</v>
      </c>
      <c r="C17" s="136" t="s">
        <v>373</v>
      </c>
    </row>
    <row r="18" spans="1:3" x14ac:dyDescent="0.3">
      <c r="A18" s="134">
        <v>0</v>
      </c>
      <c r="B18" s="135" t="s">
        <v>367</v>
      </c>
      <c r="C18" s="136" t="s">
        <v>373</v>
      </c>
    </row>
    <row r="19" spans="1:3" x14ac:dyDescent="0.3">
      <c r="A19" s="137">
        <v>3000</v>
      </c>
      <c r="B19" s="138" t="s">
        <v>372</v>
      </c>
      <c r="C19" s="139" t="s">
        <v>373</v>
      </c>
    </row>
    <row r="20" spans="1:3" x14ac:dyDescent="0.3">
      <c r="A20" s="134">
        <v>0</v>
      </c>
      <c r="B20" s="136" t="s">
        <v>269</v>
      </c>
      <c r="C20" s="136" t="s">
        <v>373</v>
      </c>
    </row>
    <row r="21" spans="1:3" x14ac:dyDescent="0.3">
      <c r="A21" s="105">
        <v>150</v>
      </c>
      <c r="B21" s="106" t="s">
        <v>258</v>
      </c>
      <c r="C21" s="107" t="s">
        <v>197</v>
      </c>
    </row>
    <row r="22" spans="1:3" x14ac:dyDescent="0.3">
      <c r="A22" s="105">
        <v>600</v>
      </c>
      <c r="B22" s="106" t="s">
        <v>257</v>
      </c>
      <c r="C22" s="107" t="s">
        <v>197</v>
      </c>
    </row>
    <row r="23" spans="1:3" x14ac:dyDescent="0.3">
      <c r="A23" s="105">
        <v>1000</v>
      </c>
      <c r="B23" s="106" t="s">
        <v>5</v>
      </c>
      <c r="C23" s="107" t="s">
        <v>197</v>
      </c>
    </row>
    <row r="24" spans="1:3" x14ac:dyDescent="0.3">
      <c r="A24" s="105">
        <v>1200</v>
      </c>
      <c r="B24" s="106" t="s">
        <v>194</v>
      </c>
      <c r="C24" s="107" t="s">
        <v>197</v>
      </c>
    </row>
    <row r="25" spans="1:3" x14ac:dyDescent="0.3">
      <c r="A25" s="105">
        <v>6000</v>
      </c>
      <c r="B25" s="106" t="s">
        <v>13</v>
      </c>
      <c r="C25" s="107" t="s">
        <v>197</v>
      </c>
    </row>
    <row r="26" spans="1:3" x14ac:dyDescent="0.3">
      <c r="A26" s="105">
        <v>0</v>
      </c>
      <c r="B26" s="106" t="s">
        <v>9</v>
      </c>
      <c r="C26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3" workbookViewId="0">
      <selection activeCell="A21" sqref="A3:C26"/>
    </sheetView>
  </sheetViews>
  <sheetFormatPr defaultRowHeight="14.4" x14ac:dyDescent="0.3"/>
  <cols>
    <col min="1" max="1" width="37.44140625" customWidth="1"/>
    <col min="2" max="2" width="30.33203125" customWidth="1"/>
    <col min="3" max="3" width="34.5546875" customWidth="1"/>
  </cols>
  <sheetData>
    <row r="1" spans="1:3" x14ac:dyDescent="0.3">
      <c r="A1" s="93" t="s">
        <v>188</v>
      </c>
      <c r="B1" s="94" t="s">
        <v>28</v>
      </c>
      <c r="C1" s="93" t="s">
        <v>196</v>
      </c>
    </row>
    <row r="2" spans="1:3" x14ac:dyDescent="0.3">
      <c r="A2" s="93"/>
      <c r="B2" s="94"/>
      <c r="C2" s="93"/>
    </row>
    <row r="3" spans="1:3" x14ac:dyDescent="0.3">
      <c r="A3" s="96">
        <v>500</v>
      </c>
      <c r="B3" s="97" t="s">
        <v>237</v>
      </c>
      <c r="C3" s="96" t="s">
        <v>199</v>
      </c>
    </row>
    <row r="4" spans="1:3" x14ac:dyDescent="0.3">
      <c r="A4" s="96">
        <v>1500</v>
      </c>
      <c r="B4" s="97" t="s">
        <v>267</v>
      </c>
      <c r="C4" s="96" t="s">
        <v>199</v>
      </c>
    </row>
    <row r="5" spans="1:3" x14ac:dyDescent="0.3">
      <c r="A5" s="96">
        <v>100</v>
      </c>
      <c r="B5" s="97" t="s">
        <v>8</v>
      </c>
      <c r="C5" s="96" t="s">
        <v>199</v>
      </c>
    </row>
    <row r="6" spans="1:3" x14ac:dyDescent="0.3">
      <c r="A6" s="98">
        <v>3323</v>
      </c>
      <c r="B6" s="99" t="s">
        <v>2</v>
      </c>
      <c r="C6" s="100" t="s">
        <v>198</v>
      </c>
    </row>
    <row r="7" spans="1:3" x14ac:dyDescent="0.3">
      <c r="A7" s="98">
        <v>1040</v>
      </c>
      <c r="B7" s="99" t="s">
        <v>309</v>
      </c>
      <c r="C7" s="100" t="s">
        <v>198</v>
      </c>
    </row>
    <row r="8" spans="1:3" x14ac:dyDescent="0.3">
      <c r="A8" s="98">
        <v>125</v>
      </c>
      <c r="B8" s="99" t="s">
        <v>369</v>
      </c>
      <c r="C8" s="100" t="s">
        <v>198</v>
      </c>
    </row>
    <row r="9" spans="1:3" x14ac:dyDescent="0.3">
      <c r="A9" s="98">
        <v>115</v>
      </c>
      <c r="B9" s="99" t="s">
        <v>370</v>
      </c>
      <c r="C9" s="100" t="s">
        <v>198</v>
      </c>
    </row>
    <row r="10" spans="1:3" x14ac:dyDescent="0.3">
      <c r="A10" s="98">
        <v>9000</v>
      </c>
      <c r="B10" s="99" t="s">
        <v>371</v>
      </c>
      <c r="C10" s="100" t="s">
        <v>198</v>
      </c>
    </row>
    <row r="11" spans="1:3" x14ac:dyDescent="0.3">
      <c r="A11" s="98">
        <v>9100</v>
      </c>
      <c r="B11" s="99" t="s">
        <v>17</v>
      </c>
      <c r="C11" s="100" t="s">
        <v>198</v>
      </c>
    </row>
    <row r="12" spans="1:3" x14ac:dyDescent="0.3">
      <c r="A12" s="98">
        <v>810</v>
      </c>
      <c r="B12" s="99" t="s">
        <v>71</v>
      </c>
      <c r="C12" s="100" t="s">
        <v>198</v>
      </c>
    </row>
    <row r="13" spans="1:3" x14ac:dyDescent="0.3">
      <c r="A13" s="98">
        <v>0</v>
      </c>
      <c r="B13" s="99" t="s">
        <v>238</v>
      </c>
      <c r="C13" s="100" t="s">
        <v>198</v>
      </c>
    </row>
    <row r="14" spans="1:3" x14ac:dyDescent="0.3">
      <c r="A14" s="98">
        <v>770</v>
      </c>
      <c r="B14" s="99" t="s">
        <v>250</v>
      </c>
      <c r="C14" s="100" t="s">
        <v>198</v>
      </c>
    </row>
    <row r="15" spans="1:3" x14ac:dyDescent="0.3">
      <c r="A15" s="98">
        <v>300</v>
      </c>
      <c r="B15" s="99" t="s">
        <v>203</v>
      </c>
      <c r="C15" s="100" t="s">
        <v>198</v>
      </c>
    </row>
    <row r="16" spans="1:3" x14ac:dyDescent="0.3">
      <c r="A16" s="134">
        <v>900</v>
      </c>
      <c r="B16" s="135" t="s">
        <v>1</v>
      </c>
      <c r="C16" s="136" t="s">
        <v>373</v>
      </c>
    </row>
    <row r="17" spans="1:3" x14ac:dyDescent="0.3">
      <c r="A17" s="134">
        <v>1550</v>
      </c>
      <c r="B17" s="135" t="s">
        <v>191</v>
      </c>
      <c r="C17" s="136" t="s">
        <v>373</v>
      </c>
    </row>
    <row r="18" spans="1:3" x14ac:dyDescent="0.3">
      <c r="A18" s="134">
        <v>0</v>
      </c>
      <c r="B18" s="135" t="s">
        <v>367</v>
      </c>
      <c r="C18" s="136" t="s">
        <v>373</v>
      </c>
    </row>
    <row r="19" spans="1:3" x14ac:dyDescent="0.3">
      <c r="A19" s="137">
        <v>3000</v>
      </c>
      <c r="B19" s="138" t="s">
        <v>372</v>
      </c>
      <c r="C19" s="139" t="s">
        <v>373</v>
      </c>
    </row>
    <row r="20" spans="1:3" x14ac:dyDescent="0.3">
      <c r="A20" s="134">
        <v>0</v>
      </c>
      <c r="B20" s="136" t="s">
        <v>269</v>
      </c>
      <c r="C20" s="136" t="s">
        <v>373</v>
      </c>
    </row>
    <row r="21" spans="1:3" x14ac:dyDescent="0.3">
      <c r="A21" s="105">
        <v>150</v>
      </c>
      <c r="B21" s="106" t="s">
        <v>258</v>
      </c>
      <c r="C21" s="107" t="s">
        <v>197</v>
      </c>
    </row>
    <row r="22" spans="1:3" x14ac:dyDescent="0.3">
      <c r="A22" s="105">
        <v>0</v>
      </c>
      <c r="B22" s="106" t="s">
        <v>257</v>
      </c>
      <c r="C22" s="107" t="s">
        <v>197</v>
      </c>
    </row>
    <row r="23" spans="1:3" x14ac:dyDescent="0.3">
      <c r="A23" s="105">
        <v>1000</v>
      </c>
      <c r="B23" s="106" t="s">
        <v>5</v>
      </c>
      <c r="C23" s="107" t="s">
        <v>197</v>
      </c>
    </row>
    <row r="24" spans="1:3" x14ac:dyDescent="0.3">
      <c r="A24" s="105">
        <v>1200</v>
      </c>
      <c r="B24" s="106" t="s">
        <v>194</v>
      </c>
      <c r="C24" s="107" t="s">
        <v>197</v>
      </c>
    </row>
    <row r="25" spans="1:3" x14ac:dyDescent="0.3">
      <c r="A25" s="105">
        <v>6000</v>
      </c>
      <c r="B25" s="106" t="s">
        <v>13</v>
      </c>
      <c r="C25" s="107" t="s">
        <v>197</v>
      </c>
    </row>
    <row r="26" spans="1:3" x14ac:dyDescent="0.3">
      <c r="A26" s="105">
        <v>0</v>
      </c>
      <c r="B26" s="106" t="s">
        <v>9</v>
      </c>
      <c r="C26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opLeftCell="A5" workbookViewId="0">
      <selection activeCell="C23" sqref="A1:C24"/>
    </sheetView>
  </sheetViews>
  <sheetFormatPr defaultRowHeight="14.4" x14ac:dyDescent="0.3"/>
  <cols>
    <col min="1" max="1" width="25.6640625" customWidth="1"/>
    <col min="2" max="2" width="34.109375" customWidth="1"/>
    <col min="3" max="3" width="41" customWidth="1"/>
  </cols>
  <sheetData>
    <row r="1" spans="1:3" x14ac:dyDescent="0.3">
      <c r="A1" s="96">
        <v>1500</v>
      </c>
      <c r="B1" s="97" t="s">
        <v>237</v>
      </c>
      <c r="C1" s="96" t="s">
        <v>199</v>
      </c>
    </row>
    <row r="2" spans="1:3" x14ac:dyDescent="0.3">
      <c r="A2" s="96">
        <v>1500</v>
      </c>
      <c r="B2" s="97" t="s">
        <v>267</v>
      </c>
      <c r="C2" s="96" t="s">
        <v>199</v>
      </c>
    </row>
    <row r="3" spans="1:3" x14ac:dyDescent="0.3">
      <c r="A3" s="96">
        <v>100</v>
      </c>
      <c r="B3" s="97" t="s">
        <v>8</v>
      </c>
      <c r="C3" s="96" t="s">
        <v>199</v>
      </c>
    </row>
    <row r="4" spans="1:3" x14ac:dyDescent="0.3">
      <c r="A4" s="98">
        <v>3323</v>
      </c>
      <c r="B4" s="99" t="s">
        <v>2</v>
      </c>
      <c r="C4" s="100" t="s">
        <v>198</v>
      </c>
    </row>
    <row r="5" spans="1:3" x14ac:dyDescent="0.3">
      <c r="A5" s="98">
        <v>1040</v>
      </c>
      <c r="B5" s="99" t="s">
        <v>309</v>
      </c>
      <c r="C5" s="100" t="s">
        <v>198</v>
      </c>
    </row>
    <row r="6" spans="1:3" x14ac:dyDescent="0.3">
      <c r="A6" s="98">
        <v>125</v>
      </c>
      <c r="B6" s="99" t="s">
        <v>369</v>
      </c>
      <c r="C6" s="100" t="s">
        <v>198</v>
      </c>
    </row>
    <row r="7" spans="1:3" x14ac:dyDescent="0.3">
      <c r="A7" s="98">
        <v>115</v>
      </c>
      <c r="B7" s="99" t="s">
        <v>370</v>
      </c>
      <c r="C7" s="100" t="s">
        <v>198</v>
      </c>
    </row>
    <row r="8" spans="1:3" x14ac:dyDescent="0.3">
      <c r="A8" s="98">
        <v>9000</v>
      </c>
      <c r="B8" s="99" t="s">
        <v>371</v>
      </c>
      <c r="C8" s="100" t="s">
        <v>198</v>
      </c>
    </row>
    <row r="9" spans="1:3" x14ac:dyDescent="0.3">
      <c r="A9" s="98">
        <v>9000</v>
      </c>
      <c r="B9" s="99" t="s">
        <v>17</v>
      </c>
      <c r="C9" s="100" t="s">
        <v>198</v>
      </c>
    </row>
    <row r="10" spans="1:3" x14ac:dyDescent="0.3">
      <c r="A10" s="98">
        <v>650</v>
      </c>
      <c r="B10" s="99" t="s">
        <v>71</v>
      </c>
      <c r="C10" s="100" t="s">
        <v>198</v>
      </c>
    </row>
    <row r="11" spans="1:3" x14ac:dyDescent="0.3">
      <c r="A11" s="98">
        <v>0</v>
      </c>
      <c r="B11" s="99" t="s">
        <v>238</v>
      </c>
      <c r="C11" s="100" t="s">
        <v>198</v>
      </c>
    </row>
    <row r="12" spans="1:3" x14ac:dyDescent="0.3">
      <c r="A12" s="98">
        <v>770</v>
      </c>
      <c r="B12" s="99" t="s">
        <v>250</v>
      </c>
      <c r="C12" s="100" t="s">
        <v>198</v>
      </c>
    </row>
    <row r="13" spans="1:3" x14ac:dyDescent="0.3">
      <c r="A13" s="98">
        <v>200</v>
      </c>
      <c r="B13" s="99" t="s">
        <v>203</v>
      </c>
      <c r="C13" s="100" t="s">
        <v>198</v>
      </c>
    </row>
    <row r="14" spans="1:3" x14ac:dyDescent="0.3">
      <c r="A14" s="134">
        <v>900</v>
      </c>
      <c r="B14" s="135" t="s">
        <v>1</v>
      </c>
      <c r="C14" s="136" t="s">
        <v>373</v>
      </c>
    </row>
    <row r="15" spans="1:3" x14ac:dyDescent="0.3">
      <c r="A15" s="134">
        <v>1100</v>
      </c>
      <c r="B15" s="135" t="s">
        <v>191</v>
      </c>
      <c r="C15" s="136" t="s">
        <v>373</v>
      </c>
    </row>
    <row r="16" spans="1:3" x14ac:dyDescent="0.3">
      <c r="A16" s="134">
        <v>0</v>
      </c>
      <c r="B16" s="135" t="s">
        <v>367</v>
      </c>
      <c r="C16" s="136" t="s">
        <v>373</v>
      </c>
    </row>
    <row r="17" spans="1:3" x14ac:dyDescent="0.3">
      <c r="A17" s="137">
        <v>1500</v>
      </c>
      <c r="B17" s="138" t="s">
        <v>372</v>
      </c>
      <c r="C17" s="139" t="s">
        <v>373</v>
      </c>
    </row>
    <row r="18" spans="1:3" x14ac:dyDescent="0.3">
      <c r="A18" s="134">
        <v>0</v>
      </c>
      <c r="B18" s="136" t="s">
        <v>269</v>
      </c>
      <c r="C18" s="136" t="s">
        <v>373</v>
      </c>
    </row>
    <row r="19" spans="1:3" x14ac:dyDescent="0.3">
      <c r="A19" s="105">
        <v>150</v>
      </c>
      <c r="B19" s="106" t="s">
        <v>258</v>
      </c>
      <c r="C19" s="107" t="s">
        <v>197</v>
      </c>
    </row>
    <row r="20" spans="1:3" x14ac:dyDescent="0.3">
      <c r="A20" s="105">
        <v>650</v>
      </c>
      <c r="B20" s="106" t="s">
        <v>257</v>
      </c>
      <c r="C20" s="107" t="s">
        <v>197</v>
      </c>
    </row>
    <row r="21" spans="1:3" x14ac:dyDescent="0.3">
      <c r="A21" s="105">
        <v>1000</v>
      </c>
      <c r="B21" s="106" t="s">
        <v>5</v>
      </c>
      <c r="C21" s="107" t="s">
        <v>197</v>
      </c>
    </row>
    <row r="22" spans="1:3" x14ac:dyDescent="0.3">
      <c r="A22" s="105">
        <v>700</v>
      </c>
      <c r="B22" s="106" t="s">
        <v>426</v>
      </c>
      <c r="C22" s="107" t="s">
        <v>197</v>
      </c>
    </row>
    <row r="23" spans="1:3" x14ac:dyDescent="0.3">
      <c r="A23" s="105">
        <v>6000</v>
      </c>
      <c r="B23" s="106" t="s">
        <v>427</v>
      </c>
      <c r="C23" s="107" t="s">
        <v>197</v>
      </c>
    </row>
    <row r="24" spans="1:3" x14ac:dyDescent="0.3">
      <c r="A24" s="105">
        <v>100</v>
      </c>
      <c r="B24" s="106" t="s">
        <v>9</v>
      </c>
      <c r="C24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4.4" x14ac:dyDescent="0.3"/>
  <cols>
    <col min="1" max="1" width="38.88671875" customWidth="1"/>
    <col min="2" max="2" width="28.44140625" customWidth="1"/>
    <col min="3" max="3" width="31.33203125" customWidth="1"/>
  </cols>
  <sheetData>
    <row r="1" spans="1:3" x14ac:dyDescent="0.3">
      <c r="A1" s="96">
        <v>1500</v>
      </c>
      <c r="B1" s="97" t="s">
        <v>237</v>
      </c>
      <c r="C1" s="96" t="s">
        <v>199</v>
      </c>
    </row>
    <row r="2" spans="1:3" x14ac:dyDescent="0.3">
      <c r="A2" s="96">
        <v>1500</v>
      </c>
      <c r="B2" s="97" t="s">
        <v>267</v>
      </c>
      <c r="C2" s="96" t="s">
        <v>199</v>
      </c>
    </row>
    <row r="3" spans="1:3" x14ac:dyDescent="0.3">
      <c r="A3" s="96">
        <v>100</v>
      </c>
      <c r="B3" s="97" t="s">
        <v>8</v>
      </c>
      <c r="C3" s="96" t="s">
        <v>199</v>
      </c>
    </row>
    <row r="4" spans="1:3" x14ac:dyDescent="0.3">
      <c r="A4" s="98">
        <v>3323</v>
      </c>
      <c r="B4" s="99" t="s">
        <v>2</v>
      </c>
      <c r="C4" s="100" t="s">
        <v>198</v>
      </c>
    </row>
    <row r="5" spans="1:3" x14ac:dyDescent="0.3">
      <c r="A5" s="98">
        <v>1040</v>
      </c>
      <c r="B5" s="99" t="s">
        <v>309</v>
      </c>
      <c r="C5" s="100" t="s">
        <v>198</v>
      </c>
    </row>
    <row r="6" spans="1:3" x14ac:dyDescent="0.3">
      <c r="A6" s="98">
        <v>125</v>
      </c>
      <c r="B6" s="99" t="s">
        <v>369</v>
      </c>
      <c r="C6" s="100" t="s">
        <v>198</v>
      </c>
    </row>
    <row r="7" spans="1:3" x14ac:dyDescent="0.3">
      <c r="A7" s="98">
        <v>115</v>
      </c>
      <c r="B7" s="99" t="s">
        <v>370</v>
      </c>
      <c r="C7" s="100" t="s">
        <v>198</v>
      </c>
    </row>
    <row r="8" spans="1:3" x14ac:dyDescent="0.3">
      <c r="A8" s="98">
        <v>9000</v>
      </c>
      <c r="B8" s="99" t="s">
        <v>371</v>
      </c>
      <c r="C8" s="100" t="s">
        <v>198</v>
      </c>
    </row>
    <row r="9" spans="1:3" x14ac:dyDescent="0.3">
      <c r="A9" s="98">
        <v>9000</v>
      </c>
      <c r="B9" s="99" t="s">
        <v>17</v>
      </c>
      <c r="C9" s="100" t="s">
        <v>198</v>
      </c>
    </row>
    <row r="10" spans="1:3" x14ac:dyDescent="0.3">
      <c r="A10" s="98">
        <v>650</v>
      </c>
      <c r="B10" s="99" t="s">
        <v>71</v>
      </c>
      <c r="C10" s="100" t="s">
        <v>198</v>
      </c>
    </row>
    <row r="11" spans="1:3" x14ac:dyDescent="0.3">
      <c r="A11" s="98">
        <v>0</v>
      </c>
      <c r="B11" s="99" t="s">
        <v>238</v>
      </c>
      <c r="C11" s="100" t="s">
        <v>198</v>
      </c>
    </row>
    <row r="12" spans="1:3" x14ac:dyDescent="0.3">
      <c r="A12" s="98">
        <v>770</v>
      </c>
      <c r="B12" s="99" t="s">
        <v>250</v>
      </c>
      <c r="C12" s="100" t="s">
        <v>198</v>
      </c>
    </row>
    <row r="13" spans="1:3" x14ac:dyDescent="0.3">
      <c r="A13" s="98">
        <v>150</v>
      </c>
      <c r="B13" s="99" t="s">
        <v>203</v>
      </c>
      <c r="C13" s="100" t="s">
        <v>198</v>
      </c>
    </row>
    <row r="14" spans="1:3" x14ac:dyDescent="0.3">
      <c r="A14" s="134">
        <v>800</v>
      </c>
      <c r="B14" s="135" t="s">
        <v>1</v>
      </c>
      <c r="C14" s="136" t="s">
        <v>373</v>
      </c>
    </row>
    <row r="15" spans="1:3" x14ac:dyDescent="0.3">
      <c r="A15" s="134">
        <v>1900</v>
      </c>
      <c r="B15" s="135" t="s">
        <v>191</v>
      </c>
      <c r="C15" s="136" t="s">
        <v>373</v>
      </c>
    </row>
    <row r="16" spans="1:3" x14ac:dyDescent="0.3">
      <c r="A16" s="134">
        <v>0</v>
      </c>
      <c r="B16" s="135" t="s">
        <v>367</v>
      </c>
      <c r="C16" s="136" t="s">
        <v>373</v>
      </c>
    </row>
    <row r="17" spans="1:3" x14ac:dyDescent="0.3">
      <c r="A17" s="137">
        <v>1500</v>
      </c>
      <c r="B17" s="138" t="s">
        <v>372</v>
      </c>
      <c r="C17" s="139" t="s">
        <v>373</v>
      </c>
    </row>
    <row r="18" spans="1:3" x14ac:dyDescent="0.3">
      <c r="A18" s="134">
        <v>0</v>
      </c>
      <c r="B18" s="136" t="s">
        <v>269</v>
      </c>
      <c r="C18" s="136" t="s">
        <v>373</v>
      </c>
    </row>
    <row r="19" spans="1:3" x14ac:dyDescent="0.3">
      <c r="A19" s="105">
        <v>150</v>
      </c>
      <c r="B19" s="106" t="s">
        <v>258</v>
      </c>
      <c r="C19" s="107" t="s">
        <v>197</v>
      </c>
    </row>
    <row r="20" spans="1:3" x14ac:dyDescent="0.3">
      <c r="A20" s="105">
        <v>850</v>
      </c>
      <c r="B20" s="106" t="s">
        <v>257</v>
      </c>
      <c r="C20" s="107" t="s">
        <v>197</v>
      </c>
    </row>
    <row r="21" spans="1:3" x14ac:dyDescent="0.3">
      <c r="A21" s="105">
        <v>1000</v>
      </c>
      <c r="B21" s="106" t="s">
        <v>5</v>
      </c>
      <c r="C21" s="107" t="s">
        <v>197</v>
      </c>
    </row>
    <row r="22" spans="1:3" x14ac:dyDescent="0.3">
      <c r="A22" s="105">
        <v>700</v>
      </c>
      <c r="B22" s="106" t="s">
        <v>426</v>
      </c>
      <c r="C22" s="107" t="s">
        <v>197</v>
      </c>
    </row>
    <row r="23" spans="1:3" x14ac:dyDescent="0.3">
      <c r="A23" s="105">
        <v>6000</v>
      </c>
      <c r="B23" s="106" t="s">
        <v>427</v>
      </c>
      <c r="C23" s="107" t="s">
        <v>197</v>
      </c>
    </row>
    <row r="24" spans="1:3" x14ac:dyDescent="0.3">
      <c r="A24" s="105">
        <v>100</v>
      </c>
      <c r="B24" s="106" t="s">
        <v>9</v>
      </c>
      <c r="C24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B1" sqref="B1"/>
    </sheetView>
  </sheetViews>
  <sheetFormatPr defaultRowHeight="14.4" x14ac:dyDescent="0.3"/>
  <cols>
    <col min="1" max="1" width="37.88671875" customWidth="1"/>
    <col min="2" max="2" width="30.88671875" customWidth="1"/>
    <col min="3" max="3" width="63" customWidth="1"/>
  </cols>
  <sheetData>
    <row r="1" spans="1:3" x14ac:dyDescent="0.3">
      <c r="A1" s="96">
        <v>500</v>
      </c>
      <c r="B1" s="97" t="s">
        <v>237</v>
      </c>
      <c r="C1" s="96" t="s">
        <v>199</v>
      </c>
    </row>
    <row r="2" spans="1:3" x14ac:dyDescent="0.3">
      <c r="A2" s="96">
        <v>900</v>
      </c>
      <c r="B2" s="97" t="s">
        <v>267</v>
      </c>
      <c r="C2" s="96" t="s">
        <v>199</v>
      </c>
    </row>
    <row r="3" spans="1:3" x14ac:dyDescent="0.3">
      <c r="A3" s="96">
        <v>100</v>
      </c>
      <c r="B3" s="97" t="s">
        <v>8</v>
      </c>
      <c r="C3" s="96" t="s">
        <v>199</v>
      </c>
    </row>
    <row r="4" spans="1:3" x14ac:dyDescent="0.3">
      <c r="A4" s="98">
        <v>3500</v>
      </c>
      <c r="B4" s="99" t="s">
        <v>2</v>
      </c>
      <c r="C4" s="100" t="s">
        <v>198</v>
      </c>
    </row>
    <row r="5" spans="1:3" x14ac:dyDescent="0.3">
      <c r="A5" s="98">
        <v>1040</v>
      </c>
      <c r="B5" s="99" t="s">
        <v>309</v>
      </c>
      <c r="C5" s="100" t="s">
        <v>198</v>
      </c>
    </row>
    <row r="6" spans="1:3" x14ac:dyDescent="0.3">
      <c r="A6" s="98">
        <v>125</v>
      </c>
      <c r="B6" s="99" t="s">
        <v>369</v>
      </c>
      <c r="C6" s="100" t="s">
        <v>198</v>
      </c>
    </row>
    <row r="7" spans="1:3" x14ac:dyDescent="0.3">
      <c r="A7" s="98">
        <v>115</v>
      </c>
      <c r="B7" s="99" t="s">
        <v>370</v>
      </c>
      <c r="C7" s="100" t="s">
        <v>198</v>
      </c>
    </row>
    <row r="8" spans="1:3" x14ac:dyDescent="0.3">
      <c r="A8" s="98">
        <v>9000</v>
      </c>
      <c r="B8" s="99" t="s">
        <v>371</v>
      </c>
      <c r="C8" s="100" t="s">
        <v>198</v>
      </c>
    </row>
    <row r="9" spans="1:3" x14ac:dyDescent="0.3">
      <c r="A9" s="98">
        <v>9000</v>
      </c>
      <c r="B9" s="99" t="s">
        <v>17</v>
      </c>
      <c r="C9" s="100" t="s">
        <v>198</v>
      </c>
    </row>
    <row r="10" spans="1:3" x14ac:dyDescent="0.3">
      <c r="A10" s="98">
        <v>650</v>
      </c>
      <c r="B10" s="99" t="s">
        <v>71</v>
      </c>
      <c r="C10" s="100" t="s">
        <v>198</v>
      </c>
    </row>
    <row r="11" spans="1:3" x14ac:dyDescent="0.3">
      <c r="A11" s="98">
        <v>970</v>
      </c>
      <c r="B11" s="99" t="s">
        <v>238</v>
      </c>
      <c r="C11" s="100" t="s">
        <v>198</v>
      </c>
    </row>
    <row r="12" spans="1:3" x14ac:dyDescent="0.3">
      <c r="A12" s="98">
        <v>770</v>
      </c>
      <c r="B12" s="99" t="s">
        <v>250</v>
      </c>
      <c r="C12" s="100" t="s">
        <v>198</v>
      </c>
    </row>
    <row r="13" spans="1:3" x14ac:dyDescent="0.3">
      <c r="A13" s="98">
        <v>100</v>
      </c>
      <c r="B13" s="99" t="s">
        <v>428</v>
      </c>
      <c r="C13" s="100" t="s">
        <v>198</v>
      </c>
    </row>
    <row r="14" spans="1:3" x14ac:dyDescent="0.3">
      <c r="A14" s="134">
        <v>600</v>
      </c>
      <c r="B14" s="135" t="s">
        <v>1</v>
      </c>
      <c r="C14" s="136" t="s">
        <v>373</v>
      </c>
    </row>
    <row r="15" spans="1:3" x14ac:dyDescent="0.3">
      <c r="A15" s="134">
        <v>1900</v>
      </c>
      <c r="B15" s="135" t="s">
        <v>191</v>
      </c>
      <c r="C15" s="136" t="s">
        <v>373</v>
      </c>
    </row>
    <row r="16" spans="1:3" x14ac:dyDescent="0.3">
      <c r="A16" s="134">
        <v>0</v>
      </c>
      <c r="B16" s="135" t="s">
        <v>367</v>
      </c>
      <c r="C16" s="136" t="s">
        <v>373</v>
      </c>
    </row>
    <row r="17" spans="1:3" x14ac:dyDescent="0.3">
      <c r="A17" s="134">
        <v>1500</v>
      </c>
      <c r="B17" s="135" t="s">
        <v>372</v>
      </c>
      <c r="C17" s="136" t="s">
        <v>373</v>
      </c>
    </row>
    <row r="18" spans="1:3" x14ac:dyDescent="0.3">
      <c r="A18" s="134">
        <v>1377</v>
      </c>
      <c r="B18" s="135" t="s">
        <v>429</v>
      </c>
      <c r="C18" s="136" t="s">
        <v>373</v>
      </c>
    </row>
    <row r="19" spans="1:3" x14ac:dyDescent="0.3">
      <c r="A19" s="134">
        <v>1190</v>
      </c>
      <c r="B19" s="135" t="s">
        <v>430</v>
      </c>
      <c r="C19" s="136" t="s">
        <v>373</v>
      </c>
    </row>
    <row r="20" spans="1:3" x14ac:dyDescent="0.3">
      <c r="A20" s="134">
        <v>1060</v>
      </c>
      <c r="B20" s="135" t="s">
        <v>431</v>
      </c>
      <c r="C20" s="136" t="s">
        <v>373</v>
      </c>
    </row>
    <row r="21" spans="1:3" x14ac:dyDescent="0.3">
      <c r="A21" s="134">
        <v>0</v>
      </c>
      <c r="B21" s="136" t="s">
        <v>269</v>
      </c>
      <c r="C21" s="136" t="s">
        <v>373</v>
      </c>
    </row>
    <row r="22" spans="1:3" x14ac:dyDescent="0.3">
      <c r="A22" s="105">
        <v>200</v>
      </c>
      <c r="B22" s="106" t="s">
        <v>258</v>
      </c>
      <c r="C22" s="107" t="s">
        <v>197</v>
      </c>
    </row>
    <row r="23" spans="1:3" x14ac:dyDescent="0.3">
      <c r="A23" s="105">
        <v>600</v>
      </c>
      <c r="B23" s="106" t="s">
        <v>257</v>
      </c>
      <c r="C23" s="107" t="s">
        <v>197</v>
      </c>
    </row>
    <row r="24" spans="1:3" x14ac:dyDescent="0.3">
      <c r="A24" s="105">
        <v>1000</v>
      </c>
      <c r="B24" s="106" t="s">
        <v>5</v>
      </c>
      <c r="C24" s="107" t="s">
        <v>197</v>
      </c>
    </row>
    <row r="25" spans="1:3" x14ac:dyDescent="0.3">
      <c r="A25" s="105">
        <v>700</v>
      </c>
      <c r="B25" s="106" t="s">
        <v>426</v>
      </c>
      <c r="C25" s="107" t="s">
        <v>197</v>
      </c>
    </row>
    <row r="26" spans="1:3" x14ac:dyDescent="0.3">
      <c r="A26" s="105">
        <v>6000</v>
      </c>
      <c r="B26" s="106" t="s">
        <v>427</v>
      </c>
      <c r="C26" s="107" t="s">
        <v>197</v>
      </c>
    </row>
    <row r="27" spans="1:3" x14ac:dyDescent="0.3">
      <c r="A27" s="105">
        <v>100</v>
      </c>
      <c r="B27" s="106" t="s">
        <v>9</v>
      </c>
      <c r="C27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zoomScale="80" zoomScaleNormal="80" workbookViewId="0">
      <selection sqref="A1:A25"/>
    </sheetView>
  </sheetViews>
  <sheetFormatPr defaultRowHeight="14.4" x14ac:dyDescent="0.3"/>
  <cols>
    <col min="1" max="1" width="54.33203125" customWidth="1"/>
    <col min="2" max="2" width="33.6640625" customWidth="1"/>
    <col min="3" max="3" width="46.88671875" customWidth="1"/>
  </cols>
  <sheetData>
    <row r="1" spans="1:3" x14ac:dyDescent="0.3">
      <c r="A1" s="96">
        <v>500</v>
      </c>
      <c r="B1" s="97" t="s">
        <v>237</v>
      </c>
      <c r="C1" s="96" t="s">
        <v>199</v>
      </c>
    </row>
    <row r="2" spans="1:3" x14ac:dyDescent="0.3">
      <c r="A2" s="96">
        <v>900</v>
      </c>
      <c r="B2" s="97" t="s">
        <v>267</v>
      </c>
      <c r="C2" s="96" t="s">
        <v>199</v>
      </c>
    </row>
    <row r="3" spans="1:3" x14ac:dyDescent="0.3">
      <c r="A3" s="96">
        <v>100</v>
      </c>
      <c r="B3" s="97" t="s">
        <v>8</v>
      </c>
      <c r="C3" s="96" t="s">
        <v>199</v>
      </c>
    </row>
    <row r="4" spans="1:3" x14ac:dyDescent="0.3">
      <c r="A4" s="98">
        <v>3500</v>
      </c>
      <c r="B4" s="99" t="s">
        <v>2</v>
      </c>
      <c r="C4" s="100" t="s">
        <v>198</v>
      </c>
    </row>
    <row r="5" spans="1:3" x14ac:dyDescent="0.3">
      <c r="A5" s="98">
        <v>1040</v>
      </c>
      <c r="B5" s="99" t="s">
        <v>309</v>
      </c>
      <c r="C5" s="100" t="s">
        <v>198</v>
      </c>
    </row>
    <row r="6" spans="1:3" x14ac:dyDescent="0.3">
      <c r="A6" s="98">
        <v>125</v>
      </c>
      <c r="B6" s="99" t="s">
        <v>369</v>
      </c>
      <c r="C6" s="100" t="s">
        <v>198</v>
      </c>
    </row>
    <row r="7" spans="1:3" x14ac:dyDescent="0.3">
      <c r="A7" s="98">
        <v>115</v>
      </c>
      <c r="B7" s="99" t="s">
        <v>370</v>
      </c>
      <c r="C7" s="100" t="s">
        <v>198</v>
      </c>
    </row>
    <row r="8" spans="1:3" x14ac:dyDescent="0.3">
      <c r="A8" s="98">
        <v>9000</v>
      </c>
      <c r="B8" s="99" t="s">
        <v>371</v>
      </c>
      <c r="C8" s="100" t="s">
        <v>198</v>
      </c>
    </row>
    <row r="9" spans="1:3" x14ac:dyDescent="0.3">
      <c r="A9" s="98">
        <v>9000</v>
      </c>
      <c r="B9" s="99" t="s">
        <v>17</v>
      </c>
      <c r="C9" s="100" t="s">
        <v>198</v>
      </c>
    </row>
    <row r="10" spans="1:3" x14ac:dyDescent="0.3">
      <c r="A10" s="98">
        <v>650</v>
      </c>
      <c r="B10" s="99" t="s">
        <v>71</v>
      </c>
      <c r="C10" s="100" t="s">
        <v>198</v>
      </c>
    </row>
    <row r="11" spans="1:3" x14ac:dyDescent="0.3">
      <c r="A11" s="98">
        <v>970</v>
      </c>
      <c r="B11" s="99" t="s">
        <v>238</v>
      </c>
      <c r="C11" s="100" t="s">
        <v>198</v>
      </c>
    </row>
    <row r="12" spans="1:3" x14ac:dyDescent="0.3">
      <c r="A12" s="98">
        <v>770</v>
      </c>
      <c r="B12" s="99" t="s">
        <v>250</v>
      </c>
      <c r="C12" s="100" t="s">
        <v>198</v>
      </c>
    </row>
    <row r="13" spans="1:3" x14ac:dyDescent="0.3">
      <c r="A13" s="98">
        <v>100</v>
      </c>
      <c r="B13" s="99" t="s">
        <v>428</v>
      </c>
      <c r="C13" s="100" t="s">
        <v>198</v>
      </c>
    </row>
    <row r="14" spans="1:3" x14ac:dyDescent="0.3">
      <c r="A14" s="134">
        <v>600</v>
      </c>
      <c r="B14" s="135" t="s">
        <v>1</v>
      </c>
      <c r="C14" s="136" t="s">
        <v>373</v>
      </c>
    </row>
    <row r="15" spans="1:3" x14ac:dyDescent="0.3">
      <c r="A15" s="134">
        <v>1900</v>
      </c>
      <c r="B15" s="135" t="s">
        <v>191</v>
      </c>
      <c r="C15" s="136" t="s">
        <v>373</v>
      </c>
    </row>
    <row r="16" spans="1:3" x14ac:dyDescent="0.3">
      <c r="A16" s="134">
        <v>0</v>
      </c>
      <c r="B16" s="135" t="s">
        <v>367</v>
      </c>
      <c r="C16" s="136" t="s">
        <v>373</v>
      </c>
    </row>
    <row r="17" spans="1:3" x14ac:dyDescent="0.3">
      <c r="A17" s="134">
        <v>1500</v>
      </c>
      <c r="B17" s="135" t="s">
        <v>372</v>
      </c>
      <c r="C17" s="136" t="s">
        <v>373</v>
      </c>
    </row>
    <row r="18" spans="1:3" x14ac:dyDescent="0.3">
      <c r="A18" s="193">
        <v>2500</v>
      </c>
      <c r="B18" s="106" t="s">
        <v>432</v>
      </c>
      <c r="C18" s="107" t="s">
        <v>197</v>
      </c>
    </row>
    <row r="19" spans="1:3" x14ac:dyDescent="0.3">
      <c r="A19" s="193">
        <v>1000</v>
      </c>
      <c r="B19" s="106" t="s">
        <v>433</v>
      </c>
      <c r="C19" s="107" t="s">
        <v>197</v>
      </c>
    </row>
    <row r="20" spans="1:3" x14ac:dyDescent="0.3">
      <c r="A20" s="105">
        <v>200</v>
      </c>
      <c r="B20" s="106" t="s">
        <v>258</v>
      </c>
      <c r="C20" s="107" t="s">
        <v>197</v>
      </c>
    </row>
    <row r="21" spans="1:3" x14ac:dyDescent="0.3">
      <c r="A21" s="105">
        <v>600</v>
      </c>
      <c r="B21" s="106" t="s">
        <v>257</v>
      </c>
      <c r="C21" s="107" t="s">
        <v>197</v>
      </c>
    </row>
    <row r="22" spans="1:3" x14ac:dyDescent="0.3">
      <c r="A22" s="105">
        <v>1500</v>
      </c>
      <c r="B22" s="106" t="s">
        <v>5</v>
      </c>
      <c r="C22" s="107" t="s">
        <v>197</v>
      </c>
    </row>
    <row r="23" spans="1:3" x14ac:dyDescent="0.3">
      <c r="A23" s="105">
        <v>700</v>
      </c>
      <c r="B23" s="106" t="s">
        <v>426</v>
      </c>
      <c r="C23" s="107" t="s">
        <v>197</v>
      </c>
    </row>
    <row r="24" spans="1:3" x14ac:dyDescent="0.3">
      <c r="A24" s="105">
        <v>6000</v>
      </c>
      <c r="B24" s="106" t="s">
        <v>427</v>
      </c>
      <c r="C24" s="107" t="s">
        <v>197</v>
      </c>
    </row>
    <row r="25" spans="1:3" x14ac:dyDescent="0.3">
      <c r="A25" s="105">
        <v>100</v>
      </c>
      <c r="B25" s="106" t="s">
        <v>9</v>
      </c>
      <c r="C25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13" sqref="C13"/>
    </sheetView>
  </sheetViews>
  <sheetFormatPr defaultRowHeight="14.4" x14ac:dyDescent="0.3"/>
  <cols>
    <col min="1" max="1" width="43.88671875" customWidth="1"/>
    <col min="2" max="2" width="49" customWidth="1"/>
    <col min="3" max="3" width="41.44140625" customWidth="1"/>
  </cols>
  <sheetData>
    <row r="1" spans="1:3" x14ac:dyDescent="0.3">
      <c r="A1" s="96">
        <v>900</v>
      </c>
      <c r="B1" s="97" t="s">
        <v>267</v>
      </c>
      <c r="C1" s="96" t="s">
        <v>199</v>
      </c>
    </row>
    <row r="2" spans="1:3" x14ac:dyDescent="0.3">
      <c r="A2" s="96">
        <v>100</v>
      </c>
      <c r="B2" s="97" t="s">
        <v>8</v>
      </c>
      <c r="C2" s="96" t="s">
        <v>199</v>
      </c>
    </row>
    <row r="3" spans="1:3" x14ac:dyDescent="0.3">
      <c r="A3" s="98">
        <v>3500</v>
      </c>
      <c r="B3" s="99" t="s">
        <v>2</v>
      </c>
      <c r="C3" s="100" t="s">
        <v>198</v>
      </c>
    </row>
    <row r="4" spans="1:3" x14ac:dyDescent="0.3">
      <c r="A4" s="98">
        <v>1040</v>
      </c>
      <c r="B4" s="99" t="s">
        <v>309</v>
      </c>
      <c r="C4" s="100" t="s">
        <v>198</v>
      </c>
    </row>
    <row r="5" spans="1:3" x14ac:dyDescent="0.3">
      <c r="A5" s="98">
        <v>125</v>
      </c>
      <c r="B5" s="99" t="s">
        <v>369</v>
      </c>
      <c r="C5" s="100" t="s">
        <v>198</v>
      </c>
    </row>
    <row r="6" spans="1:3" x14ac:dyDescent="0.3">
      <c r="A6" s="98">
        <v>115</v>
      </c>
      <c r="B6" s="99" t="s">
        <v>370</v>
      </c>
      <c r="C6" s="100" t="s">
        <v>198</v>
      </c>
    </row>
    <row r="7" spans="1:3" x14ac:dyDescent="0.3">
      <c r="A7" s="98">
        <v>11000</v>
      </c>
      <c r="B7" s="99" t="s">
        <v>371</v>
      </c>
      <c r="C7" s="100" t="s">
        <v>198</v>
      </c>
    </row>
    <row r="8" spans="1:3" x14ac:dyDescent="0.3">
      <c r="A8" s="98">
        <v>9000</v>
      </c>
      <c r="B8" s="99" t="s">
        <v>17</v>
      </c>
      <c r="C8" s="100" t="s">
        <v>198</v>
      </c>
    </row>
    <row r="9" spans="1:3" x14ac:dyDescent="0.3">
      <c r="A9" s="98">
        <v>800</v>
      </c>
      <c r="B9" s="99" t="s">
        <v>71</v>
      </c>
      <c r="C9" s="100" t="s">
        <v>198</v>
      </c>
    </row>
    <row r="10" spans="1:3" x14ac:dyDescent="0.3">
      <c r="A10" s="98">
        <v>650</v>
      </c>
      <c r="B10" s="99" t="s">
        <v>238</v>
      </c>
      <c r="C10" s="100" t="s">
        <v>198</v>
      </c>
    </row>
    <row r="11" spans="1:3" x14ac:dyDescent="0.3">
      <c r="A11" s="98">
        <v>770</v>
      </c>
      <c r="B11" s="99" t="s">
        <v>250</v>
      </c>
      <c r="C11" s="100" t="s">
        <v>198</v>
      </c>
    </row>
    <row r="12" spans="1:3" x14ac:dyDescent="0.3">
      <c r="A12" s="98">
        <v>100</v>
      </c>
      <c r="B12" s="99" t="s">
        <v>428</v>
      </c>
      <c r="C12" s="100" t="s">
        <v>198</v>
      </c>
    </row>
    <row r="13" spans="1:3" x14ac:dyDescent="0.3">
      <c r="A13" s="134">
        <v>600</v>
      </c>
      <c r="B13" s="135" t="s">
        <v>1</v>
      </c>
      <c r="C13" s="136" t="s">
        <v>373</v>
      </c>
    </row>
    <row r="14" spans="1:3" x14ac:dyDescent="0.3">
      <c r="A14" s="134">
        <v>1900</v>
      </c>
      <c r="B14" s="135" t="s">
        <v>191</v>
      </c>
      <c r="C14" s="136" t="s">
        <v>373</v>
      </c>
    </row>
    <row r="15" spans="1:3" x14ac:dyDescent="0.3">
      <c r="A15" s="134">
        <v>0</v>
      </c>
      <c r="B15" s="135" t="s">
        <v>367</v>
      </c>
      <c r="C15" s="136" t="s">
        <v>373</v>
      </c>
    </row>
    <row r="16" spans="1:3" x14ac:dyDescent="0.3">
      <c r="A16" s="134">
        <v>1500</v>
      </c>
      <c r="B16" s="135" t="s">
        <v>372</v>
      </c>
      <c r="C16" s="136" t="s">
        <v>373</v>
      </c>
    </row>
    <row r="17" spans="1:3" x14ac:dyDescent="0.3">
      <c r="A17" s="105">
        <v>200</v>
      </c>
      <c r="B17" s="106" t="s">
        <v>258</v>
      </c>
      <c r="C17" s="107" t="s">
        <v>197</v>
      </c>
    </row>
    <row r="18" spans="1:3" x14ac:dyDescent="0.3">
      <c r="A18" s="105">
        <v>600</v>
      </c>
      <c r="B18" s="106" t="s">
        <v>257</v>
      </c>
      <c r="C18" s="107" t="s">
        <v>197</v>
      </c>
    </row>
    <row r="19" spans="1:3" x14ac:dyDescent="0.3">
      <c r="A19" s="105">
        <v>1500</v>
      </c>
      <c r="B19" s="106" t="s">
        <v>5</v>
      </c>
      <c r="C19" s="107" t="s">
        <v>197</v>
      </c>
    </row>
    <row r="20" spans="1:3" x14ac:dyDescent="0.3">
      <c r="A20" s="105">
        <v>6000</v>
      </c>
      <c r="B20" s="106" t="s">
        <v>434</v>
      </c>
      <c r="C20" s="107" t="s">
        <v>197</v>
      </c>
    </row>
    <row r="21" spans="1:3" x14ac:dyDescent="0.3">
      <c r="A21" s="105">
        <v>100</v>
      </c>
      <c r="B21" s="106" t="s">
        <v>9</v>
      </c>
      <c r="C21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C22"/>
    </sheetView>
  </sheetViews>
  <sheetFormatPr defaultRowHeight="14.4" x14ac:dyDescent="0.3"/>
  <cols>
    <col min="1" max="1" width="41" customWidth="1"/>
    <col min="2" max="2" width="29.88671875" customWidth="1"/>
    <col min="3" max="3" width="52.109375" customWidth="1"/>
  </cols>
  <sheetData>
    <row r="1" spans="1:3" x14ac:dyDescent="0.3">
      <c r="A1" s="96">
        <v>900</v>
      </c>
      <c r="B1" s="97" t="s">
        <v>267</v>
      </c>
      <c r="C1" s="96" t="s">
        <v>199</v>
      </c>
    </row>
    <row r="2" spans="1:3" x14ac:dyDescent="0.3">
      <c r="A2" s="96">
        <v>500</v>
      </c>
      <c r="B2" s="97" t="s">
        <v>435</v>
      </c>
      <c r="C2" s="96" t="s">
        <v>199</v>
      </c>
    </row>
    <row r="3" spans="1:3" x14ac:dyDescent="0.3">
      <c r="A3" s="96">
        <v>100</v>
      </c>
      <c r="B3" s="97" t="s">
        <v>8</v>
      </c>
      <c r="C3" s="96" t="s">
        <v>199</v>
      </c>
    </row>
    <row r="4" spans="1:3" x14ac:dyDescent="0.3">
      <c r="A4" s="98">
        <v>3500</v>
      </c>
      <c r="B4" s="99" t="s">
        <v>2</v>
      </c>
      <c r="C4" s="100" t="s">
        <v>198</v>
      </c>
    </row>
    <row r="5" spans="1:3" x14ac:dyDescent="0.3">
      <c r="A5" s="98">
        <v>1040</v>
      </c>
      <c r="B5" s="99" t="s">
        <v>309</v>
      </c>
      <c r="C5" s="100" t="s">
        <v>198</v>
      </c>
    </row>
    <row r="6" spans="1:3" x14ac:dyDescent="0.3">
      <c r="A6" s="98">
        <v>125</v>
      </c>
      <c r="B6" s="99" t="s">
        <v>369</v>
      </c>
      <c r="C6" s="100" t="s">
        <v>198</v>
      </c>
    </row>
    <row r="7" spans="1:3" x14ac:dyDescent="0.3">
      <c r="A7" s="98">
        <v>115</v>
      </c>
      <c r="B7" s="99" t="s">
        <v>370</v>
      </c>
      <c r="C7" s="100" t="s">
        <v>198</v>
      </c>
    </row>
    <row r="8" spans="1:3" x14ac:dyDescent="0.3">
      <c r="A8" s="98">
        <v>7000</v>
      </c>
      <c r="B8" s="99" t="s">
        <v>371</v>
      </c>
      <c r="C8" s="100" t="s">
        <v>198</v>
      </c>
    </row>
    <row r="9" spans="1:3" x14ac:dyDescent="0.3">
      <c r="A9" s="98">
        <v>9000</v>
      </c>
      <c r="B9" s="99" t="s">
        <v>17</v>
      </c>
      <c r="C9" s="100" t="s">
        <v>198</v>
      </c>
    </row>
    <row r="10" spans="1:3" x14ac:dyDescent="0.3">
      <c r="A10" s="98">
        <v>750</v>
      </c>
      <c r="B10" s="99" t="s">
        <v>71</v>
      </c>
      <c r="C10" s="100" t="s">
        <v>198</v>
      </c>
    </row>
    <row r="11" spans="1:3" x14ac:dyDescent="0.3">
      <c r="A11" s="98">
        <v>650</v>
      </c>
      <c r="B11" s="99" t="s">
        <v>238</v>
      </c>
      <c r="C11" s="100" t="s">
        <v>198</v>
      </c>
    </row>
    <row r="12" spans="1:3" x14ac:dyDescent="0.3">
      <c r="A12" s="98">
        <v>770</v>
      </c>
      <c r="B12" s="99" t="s">
        <v>250</v>
      </c>
      <c r="C12" s="100" t="s">
        <v>198</v>
      </c>
    </row>
    <row r="13" spans="1:3" x14ac:dyDescent="0.3">
      <c r="A13" s="98">
        <v>100</v>
      </c>
      <c r="B13" s="99" t="s">
        <v>428</v>
      </c>
      <c r="C13" s="100" t="s">
        <v>198</v>
      </c>
    </row>
    <row r="14" spans="1:3" x14ac:dyDescent="0.3">
      <c r="A14" s="134">
        <v>600</v>
      </c>
      <c r="B14" s="135" t="s">
        <v>1</v>
      </c>
      <c r="C14" s="136" t="s">
        <v>373</v>
      </c>
    </row>
    <row r="15" spans="1:3" x14ac:dyDescent="0.3">
      <c r="A15" s="134">
        <v>1900</v>
      </c>
      <c r="B15" s="135" t="s">
        <v>191</v>
      </c>
      <c r="C15" s="136" t="s">
        <v>373</v>
      </c>
    </row>
    <row r="16" spans="1:3" x14ac:dyDescent="0.3">
      <c r="A16" s="134">
        <v>1500</v>
      </c>
      <c r="B16" s="135" t="s">
        <v>372</v>
      </c>
      <c r="C16" s="136" t="s">
        <v>373</v>
      </c>
    </row>
    <row r="17" spans="1:3" x14ac:dyDescent="0.3">
      <c r="A17" s="105">
        <v>200</v>
      </c>
      <c r="B17" s="106" t="s">
        <v>258</v>
      </c>
      <c r="C17" s="107" t="s">
        <v>197</v>
      </c>
    </row>
    <row r="18" spans="1:3" x14ac:dyDescent="0.3">
      <c r="A18" s="105">
        <v>650</v>
      </c>
      <c r="B18" s="106" t="s">
        <v>257</v>
      </c>
      <c r="C18" s="107" t="s">
        <v>197</v>
      </c>
    </row>
    <row r="19" spans="1:3" x14ac:dyDescent="0.3">
      <c r="A19" s="105">
        <v>2000</v>
      </c>
      <c r="B19" s="106" t="s">
        <v>5</v>
      </c>
      <c r="C19" s="107" t="s">
        <v>197</v>
      </c>
    </row>
    <row r="20" spans="1:3" x14ac:dyDescent="0.3">
      <c r="A20" s="105">
        <v>6000</v>
      </c>
      <c r="B20" s="106" t="s">
        <v>434</v>
      </c>
      <c r="C20" s="107" t="s">
        <v>197</v>
      </c>
    </row>
    <row r="21" spans="1:3" x14ac:dyDescent="0.3">
      <c r="A21" s="105">
        <v>150</v>
      </c>
      <c r="B21" s="106" t="s">
        <v>9</v>
      </c>
      <c r="C21" s="107" t="s">
        <v>197</v>
      </c>
    </row>
    <row r="22" spans="1:3" x14ac:dyDescent="0.3">
      <c r="A22" s="105">
        <v>10000</v>
      </c>
      <c r="B22" s="106" t="s">
        <v>436</v>
      </c>
      <c r="C22" s="107" t="s">
        <v>197</v>
      </c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10" sqref="A10"/>
    </sheetView>
  </sheetViews>
  <sheetFormatPr defaultRowHeight="14.4" x14ac:dyDescent="0.3"/>
  <cols>
    <col min="1" max="1" width="51" customWidth="1"/>
    <col min="2" max="2" width="34.44140625" customWidth="1"/>
    <col min="3" max="3" width="65.21875" customWidth="1"/>
  </cols>
  <sheetData>
    <row r="1" spans="1:3" x14ac:dyDescent="0.3">
      <c r="A1" s="96">
        <v>900</v>
      </c>
      <c r="B1" s="97" t="s">
        <v>267</v>
      </c>
      <c r="C1" s="96" t="s">
        <v>199</v>
      </c>
    </row>
    <row r="2" spans="1:3" x14ac:dyDescent="0.3">
      <c r="A2" s="96">
        <v>500</v>
      </c>
      <c r="B2" s="97" t="s">
        <v>437</v>
      </c>
      <c r="C2" s="96" t="s">
        <v>199</v>
      </c>
    </row>
    <row r="3" spans="1:3" x14ac:dyDescent="0.3">
      <c r="A3" s="96">
        <v>2200</v>
      </c>
      <c r="B3" s="97" t="s">
        <v>438</v>
      </c>
      <c r="C3" s="96" t="s">
        <v>199</v>
      </c>
    </row>
    <row r="4" spans="1:3" x14ac:dyDescent="0.3">
      <c r="A4" s="96">
        <v>100</v>
      </c>
      <c r="B4" s="97" t="s">
        <v>8</v>
      </c>
      <c r="C4" s="96" t="s">
        <v>199</v>
      </c>
    </row>
    <row r="5" spans="1:3" x14ac:dyDescent="0.3">
      <c r="A5" s="98">
        <v>3500</v>
      </c>
      <c r="B5" s="99" t="s">
        <v>2</v>
      </c>
      <c r="C5" s="100" t="s">
        <v>198</v>
      </c>
    </row>
    <row r="6" spans="1:3" x14ac:dyDescent="0.3">
      <c r="A6" s="98">
        <v>1400</v>
      </c>
      <c r="B6" s="99" t="s">
        <v>309</v>
      </c>
      <c r="C6" s="100" t="s">
        <v>198</v>
      </c>
    </row>
    <row r="7" spans="1:3" x14ac:dyDescent="0.3">
      <c r="A7" s="98">
        <v>125</v>
      </c>
      <c r="B7" s="99" t="s">
        <v>369</v>
      </c>
      <c r="C7" s="100" t="s">
        <v>198</v>
      </c>
    </row>
    <row r="8" spans="1:3" x14ac:dyDescent="0.3">
      <c r="A8" s="98">
        <v>115</v>
      </c>
      <c r="B8" s="99" t="s">
        <v>370</v>
      </c>
      <c r="C8" s="100" t="s">
        <v>198</v>
      </c>
    </row>
    <row r="9" spans="1:3" x14ac:dyDescent="0.3">
      <c r="A9" s="98">
        <v>13000</v>
      </c>
      <c r="B9" s="99" t="s">
        <v>371</v>
      </c>
      <c r="C9" s="100" t="s">
        <v>198</v>
      </c>
    </row>
    <row r="10" spans="1:3" x14ac:dyDescent="0.3">
      <c r="A10" s="98">
        <v>19200</v>
      </c>
      <c r="B10" s="99" t="s">
        <v>439</v>
      </c>
      <c r="C10" s="100" t="s">
        <v>198</v>
      </c>
    </row>
    <row r="11" spans="1:3" x14ac:dyDescent="0.3">
      <c r="A11" s="98">
        <v>3000</v>
      </c>
      <c r="B11" s="99" t="s">
        <v>440</v>
      </c>
      <c r="C11" s="100" t="s">
        <v>198</v>
      </c>
    </row>
    <row r="12" spans="1:3" x14ac:dyDescent="0.3">
      <c r="A12" s="98">
        <v>1300</v>
      </c>
      <c r="B12" s="99" t="s">
        <v>71</v>
      </c>
      <c r="C12" s="100" t="s">
        <v>198</v>
      </c>
    </row>
    <row r="13" spans="1:3" x14ac:dyDescent="0.3">
      <c r="A13" s="98">
        <v>500</v>
      </c>
      <c r="B13" s="99" t="s">
        <v>238</v>
      </c>
      <c r="C13" s="100" t="s">
        <v>198</v>
      </c>
    </row>
    <row r="14" spans="1:3" x14ac:dyDescent="0.3">
      <c r="A14" s="98">
        <v>1500</v>
      </c>
      <c r="B14" s="99" t="s">
        <v>445</v>
      </c>
      <c r="C14" s="100"/>
    </row>
    <row r="15" spans="1:3" x14ac:dyDescent="0.3">
      <c r="A15" s="98">
        <v>5800</v>
      </c>
      <c r="B15" s="99" t="s">
        <v>446</v>
      </c>
      <c r="C15" s="100"/>
    </row>
    <row r="16" spans="1:3" x14ac:dyDescent="0.3">
      <c r="A16" s="98">
        <v>11000</v>
      </c>
      <c r="B16" s="99" t="s">
        <v>447</v>
      </c>
      <c r="C16" s="100"/>
    </row>
    <row r="17" spans="1:3" x14ac:dyDescent="0.3">
      <c r="A17" s="98">
        <v>1100</v>
      </c>
      <c r="B17" s="99" t="s">
        <v>250</v>
      </c>
      <c r="C17" s="100" t="s">
        <v>198</v>
      </c>
    </row>
    <row r="18" spans="1:3" x14ac:dyDescent="0.3">
      <c r="A18" s="134">
        <v>1100</v>
      </c>
      <c r="B18" s="135" t="s">
        <v>1</v>
      </c>
      <c r="C18" s="136" t="s">
        <v>373</v>
      </c>
    </row>
    <row r="19" spans="1:3" x14ac:dyDescent="0.3">
      <c r="A19" s="134">
        <v>2300</v>
      </c>
      <c r="B19" s="135" t="s">
        <v>442</v>
      </c>
      <c r="C19" s="136" t="s">
        <v>373</v>
      </c>
    </row>
    <row r="20" spans="1:3" x14ac:dyDescent="0.3">
      <c r="A20" s="134">
        <v>1900</v>
      </c>
      <c r="B20" s="135" t="s">
        <v>441</v>
      </c>
      <c r="C20" s="136" t="s">
        <v>373</v>
      </c>
    </row>
    <row r="21" spans="1:3" x14ac:dyDescent="0.3">
      <c r="A21" s="134">
        <v>1700</v>
      </c>
      <c r="B21" s="135" t="s">
        <v>244</v>
      </c>
      <c r="C21" s="136"/>
    </row>
    <row r="22" spans="1:3" x14ac:dyDescent="0.3">
      <c r="A22" s="105">
        <v>200</v>
      </c>
      <c r="B22" s="106" t="s">
        <v>258</v>
      </c>
      <c r="C22" s="107" t="s">
        <v>197</v>
      </c>
    </row>
    <row r="23" spans="1:3" x14ac:dyDescent="0.3">
      <c r="A23" s="105">
        <v>2000</v>
      </c>
      <c r="B23" s="106" t="s">
        <v>443</v>
      </c>
      <c r="C23" s="107"/>
    </row>
    <row r="24" spans="1:3" x14ac:dyDescent="0.3">
      <c r="A24" s="105">
        <v>700</v>
      </c>
      <c r="B24" s="106" t="s">
        <v>444</v>
      </c>
      <c r="C24" s="107" t="s">
        <v>197</v>
      </c>
    </row>
    <row r="25" spans="1:3" x14ac:dyDescent="0.3">
      <c r="A25" s="105">
        <v>3000</v>
      </c>
      <c r="B25" s="106" t="s">
        <v>5</v>
      </c>
      <c r="C25" s="107" t="s">
        <v>197</v>
      </c>
    </row>
    <row r="26" spans="1:3" x14ac:dyDescent="0.3">
      <c r="A26" s="105">
        <v>6000</v>
      </c>
      <c r="B26" s="106" t="s">
        <v>434</v>
      </c>
      <c r="C26" s="107" t="s">
        <v>197</v>
      </c>
    </row>
    <row r="27" spans="1:3" x14ac:dyDescent="0.3">
      <c r="A27" s="105"/>
      <c r="B27" s="106"/>
      <c r="C27" s="107"/>
    </row>
    <row r="28" spans="1:3" x14ac:dyDescent="0.3">
      <c r="A28" s="105"/>
      <c r="B28" s="106"/>
      <c r="C28" s="107"/>
    </row>
  </sheetData>
  <pageMargins left="0.7" right="0.7" top="0.75" bottom="0.75" header="0.3" footer="0.3"/>
  <pageSetup paperSize="9" orientation="portrait" r:id="rId1"/>
  <headerFooter>
    <oddHeader>&amp;L&amp;"CorpoS"&amp;10&amp;K000000Internal&amp;1#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Sheet1</vt:lpstr>
      <vt:lpstr>Sheet8</vt:lpstr>
      <vt:lpstr>Sheet6</vt:lpstr>
      <vt:lpstr>Sheet5</vt:lpstr>
      <vt:lpstr>Sheet2</vt:lpstr>
      <vt:lpstr>Sheet4</vt:lpstr>
      <vt:lpstr>Guest</vt:lpstr>
      <vt:lpstr>BRAI</vt:lpstr>
      <vt:lpstr>Aug2018</vt:lpstr>
      <vt:lpstr>Sep2018</vt:lpstr>
      <vt:lpstr>Oct2018</vt:lpstr>
      <vt:lpstr>Non2018</vt:lpstr>
      <vt:lpstr>Dec2018</vt:lpstr>
      <vt:lpstr>Feb2019</vt:lpstr>
      <vt:lpstr>March2019</vt:lpstr>
      <vt:lpstr>April2019</vt:lpstr>
      <vt:lpstr>June2019</vt:lpstr>
      <vt:lpstr>July2019</vt:lpstr>
      <vt:lpstr>Aug2019</vt:lpstr>
      <vt:lpstr>Sep2019</vt:lpstr>
      <vt:lpstr>OCT2019</vt:lpstr>
      <vt:lpstr>NOV2019</vt:lpstr>
      <vt:lpstr>DEC2019</vt:lpstr>
      <vt:lpstr>Jan2020</vt:lpstr>
      <vt:lpstr>Feb 2020</vt:lpstr>
      <vt:lpstr>March 2020</vt:lpstr>
      <vt:lpstr>APR 2020</vt:lpstr>
      <vt:lpstr>MAy2020</vt:lpstr>
      <vt:lpstr>June2020</vt:lpstr>
      <vt:lpstr>July2020</vt:lpstr>
      <vt:lpstr>Aug2020</vt:lpstr>
      <vt:lpstr>Sep2020</vt:lpstr>
      <vt:lpstr>OCT2020</vt:lpstr>
      <vt:lpstr>Nov2020</vt:lpstr>
      <vt:lpstr>Dec2020</vt:lpstr>
      <vt:lpstr>Jan2021</vt:lpstr>
      <vt:lpstr>Feb201</vt:lpstr>
      <vt:lpstr>July2023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Sinha, Amit (175)</cp:lastModifiedBy>
  <dcterms:created xsi:type="dcterms:W3CDTF">2017-12-17T16:12:33Z</dcterms:created>
  <dcterms:modified xsi:type="dcterms:W3CDTF">2023-06-13T12:19:52Z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2023-06-13T12:19:51Z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965e4e07-2347-4f17-87af-924fde96b13b</vt:lpwstr>
  </property>
  <property fmtid="{D5CDD505-2E9C-101B-9397-08002B2CF9AE}" pid="8" name="MSIP_Label_924dbb1d-991d-4bbd-aad5-33bac1d8ffaf_ContentBits">
    <vt:lpwstr>1</vt:lpwstr>
  </property>
</Properties>
</file>