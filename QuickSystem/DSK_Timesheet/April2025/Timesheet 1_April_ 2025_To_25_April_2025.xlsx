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Timesheet_dsx\"/>
    </mc:Choice>
  </mc:AlternateContent>
  <xr:revisionPtr revIDLastSave="0" documentId="13_ncr:1_{81A295D0-B70A-479B-9BE3-1C3372551D27}" xr6:coauthVersionLast="47" xr6:coauthVersionMax="47" xr10:uidLastSave="{00000000-0000-0000-0000-000000000000}"/>
  <bookViews>
    <workbookView xWindow="-28920" yWindow="-705" windowWidth="29040" windowHeight="15720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<sst xmlns="http://schemas.openxmlformats.org/spreadsheetml/2006/main" count="106" uniqueCount="75">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</sst>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20" fontId="7" fillId="0" borderId="1" xfId="0" applyNumberFormat="1" applyFont="1" applyBorder="1" applyAlignment="1" applyProtection="1">
      <alignment horizontal="center"/>
      <protection locked="0"/>
    </xf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631190</xdr:colOff>
      <xdr:row>1</xdr:row>
      <xdr:rowOff>19427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3.2" x14ac:dyDescent="0.25"/>
  <sheetData>
    <row r="1" spans="1:1" x14ac:dyDescent="0.25">
      <c r="A1" s="45" t="s">
        <v>39</v>
      </c>
    </row>
    <row r="3" spans="1:1" x14ac:dyDescent="0.25">
      <c r="A3" t="s">
        <v>64</v>
      </c>
    </row>
    <row r="4" spans="1:1" x14ac:dyDescent="0.25">
      <c r="A4" t="s">
        <v>63</v>
      </c>
    </row>
    <row r="5" spans="1:1" x14ac:dyDescent="0.25">
      <c r="A5" t="s">
        <v>62</v>
      </c>
    </row>
    <row r="6" spans="1:1" x14ac:dyDescent="0.25">
      <c r="A6" s="46" t="s">
        <v>65</v>
      </c>
    </row>
    <row r="7" spans="1:1" x14ac:dyDescent="0.25">
      <c r="A7" t="s">
        <v>61</v>
      </c>
    </row>
    <row r="8" spans="1:1" x14ac:dyDescent="0.25">
      <c r="A8" t="s">
        <v>60</v>
      </c>
    </row>
    <row r="9" spans="1:1" x14ac:dyDescent="0.25">
      <c r="A9" t="s">
        <v>59</v>
      </c>
    </row>
    <row r="10" spans="1:1" x14ac:dyDescent="0.25">
      <c r="A10" t="s">
        <v>40</v>
      </c>
    </row>
    <row r="11" spans="1:1" x14ac:dyDescent="0.25">
      <c r="A11" t="s">
        <v>58</v>
      </c>
    </row>
    <row r="12" spans="1:1" x14ac:dyDescent="0.25">
      <c r="A12" t="s">
        <v>41</v>
      </c>
    </row>
    <row r="13" spans="1:1" x14ac:dyDescent="0.25">
      <c r="A13" t="s">
        <v>57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56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55</v>
      </c>
    </row>
    <row r="21" spans="1:1" x14ac:dyDescent="0.25">
      <c r="A21" t="s">
        <v>54</v>
      </c>
    </row>
    <row r="22" spans="1:1" x14ac:dyDescent="0.25">
      <c r="A22" t="s">
        <v>53</v>
      </c>
    </row>
    <row r="23" spans="1:1" x14ac:dyDescent="0.25">
      <c r="A23" t="s">
        <v>47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48</v>
      </c>
    </row>
    <row r="27" spans="1:1" x14ac:dyDescent="0.25">
      <c r="A27" t="s">
        <v>50</v>
      </c>
    </row>
    <row r="34" spans="1:1" x14ac:dyDescent="0.25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topLeftCell="A2" zoomScale="90" zoomScaleNormal="90" workbookViewId="0">
      <selection activeCell="C8" sqref="C8"/>
    </sheetView>
  </sheetViews>
  <sheetFormatPr defaultColWidth="9.33203125" defaultRowHeight="13.2" x14ac:dyDescent="0.25"/>
  <cols>
    <col min="1" max="1" width="17.44140625" customWidth="1"/>
    <col min="2" max="3" width="10.6640625" customWidth="1"/>
    <col min="4" max="5" width="10.33203125" customWidth="1"/>
    <col min="6" max="6" width="10" customWidth="1"/>
    <col min="7" max="8" width="10.6640625" customWidth="1"/>
    <col min="9" max="9" width="10" customWidth="1"/>
    <col min="10" max="10" width="10.33203125" customWidth="1"/>
    <col min="11" max="11" width="9.6640625" customWidth="1"/>
    <col min="12" max="16" width="10.6640625" customWidth="1"/>
    <col min="17" max="17" width="10.44140625" customWidth="1"/>
    <col min="18" max="18" width="10.6640625" customWidth="1"/>
    <col min="19" max="19" width="11.5546875" customWidth="1"/>
    <col min="21" max="21" width="10.6640625" customWidth="1"/>
  </cols>
  <sheetData>
    <row r="1" spans="1:21" ht="78.75" customHeight="1" x14ac:dyDescent="0.25">
      <c r="A1" s="7" t="s">
        <v>66</v>
      </c>
      <c r="B1" s="110">
        <v>45748</v>
      </c>
      <c r="C1" s="110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6" t="s">
        <v>71</v>
      </c>
      <c r="S1" s="107"/>
      <c r="T1" s="107"/>
      <c r="U1" s="108"/>
    </row>
    <row r="2" spans="1:21" ht="18.75" customHeight="1" x14ac:dyDescent="0.25">
      <c r="A2" s="14" t="s">
        <v>69</v>
      </c>
      <c r="B2" s="109">
        <v>45772</v>
      </c>
      <c r="C2" s="109"/>
      <c r="D2" s="15"/>
      <c r="E2" s="16" t="s">
        <v>2</v>
      </c>
      <c r="F2" s="112" t="s">
        <v>74</v>
      </c>
      <c r="G2" s="112"/>
      <c r="H2" s="112"/>
      <c r="I2" s="112"/>
      <c r="K2" s="15"/>
      <c r="L2" s="47" t="s">
        <v>3</v>
      </c>
      <c r="M2" s="111" t="s">
        <v>72</v>
      </c>
      <c r="N2" s="111"/>
      <c r="O2" s="111"/>
      <c r="P2" s="111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3">
      <c r="A3" s="19"/>
      <c r="B3" s="5" t="str">
        <f>TEXT(B4, "dddd")</f>
        <v>Tuesday</v>
      </c>
      <c r="C3" s="5" t="str">
        <f t="shared" ref="C3:S3" si="0">TEXT(C4, "dddd")</f>
        <v>Wednesday</v>
      </c>
      <c r="D3" s="5" t="str">
        <f t="shared" si="0"/>
        <v>Thursday</v>
      </c>
      <c r="E3" s="5" t="str">
        <f t="shared" si="0"/>
        <v>Friday</v>
      </c>
      <c r="F3" s="5" t="str">
        <f t="shared" si="0"/>
        <v>Saturday</v>
      </c>
      <c r="G3" s="5" t="str">
        <f t="shared" si="0"/>
        <v>Sunday</v>
      </c>
      <c r="H3" s="5" t="str">
        <f t="shared" si="0"/>
        <v>Monday</v>
      </c>
      <c r="I3" s="5" t="str">
        <f t="shared" si="0"/>
        <v>Tuesday</v>
      </c>
      <c r="J3" s="5" t="str">
        <f t="shared" si="0"/>
        <v>Wednesday</v>
      </c>
      <c r="K3" s="5" t="str">
        <f t="shared" si="0"/>
        <v>Thursday</v>
      </c>
      <c r="L3" s="5" t="str">
        <f t="shared" si="0"/>
        <v>Friday</v>
      </c>
      <c r="M3" s="5" t="str">
        <f t="shared" si="0"/>
        <v>Saturday</v>
      </c>
      <c r="N3" s="5" t="str">
        <f t="shared" si="0"/>
        <v>Sunday</v>
      </c>
      <c r="O3" s="5" t="str">
        <f t="shared" si="0"/>
        <v>Monday</v>
      </c>
      <c r="P3" s="5" t="str">
        <f t="shared" si="0"/>
        <v>Tuesday</v>
      </c>
      <c r="Q3" s="5" t="str">
        <f t="shared" si="0"/>
        <v>Wednesday</v>
      </c>
      <c r="R3" s="5" t="str">
        <f t="shared" si="0"/>
        <v>Thursday</v>
      </c>
      <c r="S3" s="5" t="str">
        <f t="shared" si="0"/>
        <v>Friday</v>
      </c>
      <c r="T3" s="17"/>
      <c r="U3" s="18"/>
    </row>
    <row r="4" spans="1:21" ht="13.5" customHeight="1" thickBot="1" x14ac:dyDescent="0.3">
      <c r="A4" s="20" t="s">
        <v>5</v>
      </c>
      <c r="B4" s="3">
        <f>B1</f>
        <v>45748</v>
      </c>
      <c r="C4" s="3">
        <f>B4+1</f>
        <v>45749</v>
      </c>
      <c r="D4" s="3">
        <f>C4+1</f>
        <v>45750</v>
      </c>
      <c r="E4" s="3">
        <f>D4+1</f>
        <v>45751</v>
      </c>
      <c r="F4" s="3">
        <f t="shared" ref="F4:R4" si="1">E4+1</f>
        <v>45752</v>
      </c>
      <c r="G4" s="3">
        <f t="shared" si="1"/>
        <v>45753</v>
      </c>
      <c r="H4" s="3">
        <f t="shared" si="1"/>
        <v>45754</v>
      </c>
      <c r="I4" s="3">
        <f t="shared" si="1"/>
        <v>45755</v>
      </c>
      <c r="J4" s="3">
        <f t="shared" si="1"/>
        <v>45756</v>
      </c>
      <c r="K4" s="3">
        <f t="shared" si="1"/>
        <v>45757</v>
      </c>
      <c r="L4" s="3">
        <f t="shared" si="1"/>
        <v>45758</v>
      </c>
      <c r="M4" s="3">
        <f t="shared" si="1"/>
        <v>45759</v>
      </c>
      <c r="N4" s="3">
        <f t="shared" si="1"/>
        <v>45760</v>
      </c>
      <c r="O4" s="3">
        <f t="shared" si="1"/>
        <v>45761</v>
      </c>
      <c r="P4" s="48">
        <f t="shared" si="1"/>
        <v>45762</v>
      </c>
      <c r="Q4" s="3">
        <f t="shared" si="1"/>
        <v>45763</v>
      </c>
      <c r="R4" s="48">
        <f t="shared" si="1"/>
        <v>45764</v>
      </c>
      <c r="S4" s="3">
        <f>R4+1</f>
        <v>45765</v>
      </c>
      <c r="T4" s="17"/>
      <c r="U4" s="18"/>
    </row>
    <row r="5" spans="1:21" ht="17.7" customHeight="1" x14ac:dyDescent="0.25">
      <c r="A5" s="21" t="s">
        <v>6</v>
      </c>
      <c r="B5" s="50">
        <v>0.35416666666666669</v>
      </c>
      <c r="C5" s="50">
        <v>0.34375</v>
      </c>
      <c r="D5" s="50">
        <v>0.34722222222222221</v>
      </c>
      <c r="E5" s="58">
        <v>0.3298611111111111</v>
      </c>
      <c r="F5" s="50"/>
      <c r="G5" s="58"/>
      <c r="H5" s="49">
        <v>0.35416666666666669</v>
      </c>
      <c r="I5" s="58">
        <v>0.33680555555555558</v>
      </c>
      <c r="J5" s="58">
        <v>0.33680555555555558</v>
      </c>
      <c r="K5" s="49">
        <v>0.35416666666666669</v>
      </c>
      <c r="L5" s="1">
        <v>0.33333333333333331</v>
      </c>
      <c r="M5" s="1"/>
      <c r="N5" s="1"/>
      <c r="O5" s="1">
        <v>0.34027777777777779</v>
      </c>
      <c r="P5" s="1">
        <v>0.35416666666666669</v>
      </c>
      <c r="Q5" s="1">
        <v>0.35069444444444442</v>
      </c>
      <c r="R5" s="1">
        <v>0.33333333333333331</v>
      </c>
      <c r="S5" s="1"/>
      <c r="T5" s="17"/>
      <c r="U5" s="18"/>
    </row>
    <row r="6" spans="1:21" ht="17.7" customHeight="1" x14ac:dyDescent="0.25">
      <c r="A6" s="21" t="s">
        <v>7</v>
      </c>
      <c r="B6" s="50">
        <v>0.72916666666666663</v>
      </c>
      <c r="C6" s="1">
        <v>0.71875</v>
      </c>
      <c r="D6" s="1">
        <v>0.72916666666666663</v>
      </c>
      <c r="E6" s="1">
        <v>0.71111111111111114</v>
      </c>
      <c r="F6" s="50"/>
      <c r="G6" s="1"/>
      <c r="H6" s="49">
        <v>0.72361111111111109</v>
      </c>
      <c r="I6" s="1">
        <v>0.71319444444444446</v>
      </c>
      <c r="J6" s="1">
        <v>0.71875</v>
      </c>
      <c r="K6" s="49">
        <v>0.71527777777777779</v>
      </c>
      <c r="L6" s="1">
        <v>0.71875</v>
      </c>
      <c r="M6" s="1"/>
      <c r="N6" s="1"/>
      <c r="O6" s="1">
        <v>0.71527777777777779</v>
      </c>
      <c r="P6" s="1">
        <v>0.71527777777777779</v>
      </c>
      <c r="Q6" s="1">
        <v>0.71805555555555556</v>
      </c>
      <c r="R6" s="1">
        <v>0.70833333333333337</v>
      </c>
      <c r="S6" s="1"/>
      <c r="T6" s="22"/>
      <c r="U6" s="18"/>
    </row>
    <row r="7" spans="1:21" ht="17.7" customHeight="1" x14ac:dyDescent="0.25">
      <c r="A7" s="23" t="s">
        <v>9</v>
      </c>
      <c r="B7" s="50">
        <v>2.0833333333333332E-2</v>
      </c>
      <c r="C7" s="1">
        <v>2.0833333333333332E-2</v>
      </c>
      <c r="D7" s="49">
        <v>2.0833333333333332E-2</v>
      </c>
      <c r="E7" s="1">
        <v>2.0833333333333332E-2</v>
      </c>
      <c r="F7" s="50"/>
      <c r="G7" s="1"/>
      <c r="H7" s="1">
        <v>2.0833333333333332E-2</v>
      </c>
      <c r="I7" s="1">
        <v>2.0833333333333332E-2</v>
      </c>
      <c r="J7" s="1">
        <v>2.0833333333333332E-2</v>
      </c>
      <c r="K7" s="49">
        <v>2.0833333333333332E-2</v>
      </c>
      <c r="L7" s="1">
        <v>2.0833333333333332E-2</v>
      </c>
      <c r="M7" s="1"/>
      <c r="N7" s="1"/>
      <c r="O7" s="51">
        <v>2.0833333333333332E-2</v>
      </c>
      <c r="P7" s="49">
        <v>2.0833333333333332E-2</v>
      </c>
      <c r="Q7" s="1">
        <v>2.0833333333333332E-2</v>
      </c>
      <c r="R7" s="49">
        <v>2.0833333333333332E-2</v>
      </c>
      <c r="S7" s="1"/>
      <c r="T7" s="24">
        <f t="shared" ref="T7:T16" si="2">SUM(B7:S7)</f>
        <v>0.27083333333333331</v>
      </c>
      <c r="U7" s="25" t="s">
        <v>9</v>
      </c>
    </row>
    <row r="8" spans="1:21" ht="17.7" customHeight="1" x14ac:dyDescent="0.25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7" customHeight="1" x14ac:dyDescent="0.25">
      <c r="A9" s="26" t="s">
        <v>12</v>
      </c>
      <c r="B9" s="52">
        <f t="shared" ref="B9:H9" si="3">SUM(B6-B5-B7-B8)</f>
        <v>0.35416666666666663</v>
      </c>
      <c r="C9" s="59">
        <f t="shared" si="3"/>
        <v>0.35416666666666669</v>
      </c>
      <c r="D9" s="2">
        <f t="shared" si="3"/>
        <v>0.3611111111111111</v>
      </c>
      <c r="E9" s="2">
        <f t="shared" si="3"/>
        <v>0.36041666666666672</v>
      </c>
      <c r="F9" s="2">
        <f t="shared" si="3"/>
        <v>0</v>
      </c>
      <c r="G9" s="2">
        <f t="shared" si="3"/>
        <v>0</v>
      </c>
      <c r="H9" s="53">
        <f t="shared" si="3"/>
        <v>0.34861111111111109</v>
      </c>
      <c r="I9" s="52">
        <f t="shared" ref="I9:R9" si="4">SUM(I6-I5-I7-I8)</f>
        <v>0.35555555555555557</v>
      </c>
      <c r="J9" s="59">
        <f t="shared" si="4"/>
        <v>0.3611111111111111</v>
      </c>
      <c r="K9" s="2">
        <f t="shared" si="4"/>
        <v>0.34027777777777779</v>
      </c>
      <c r="L9" s="2">
        <f t="shared" si="4"/>
        <v>0.36458333333333337</v>
      </c>
      <c r="M9" s="2">
        <f t="shared" si="4"/>
        <v>0</v>
      </c>
      <c r="N9" s="2">
        <f t="shared" si="4"/>
        <v>0</v>
      </c>
      <c r="O9" s="53">
        <f t="shared" si="4"/>
        <v>0.35416666666666669</v>
      </c>
      <c r="P9" s="2">
        <f t="shared" si="4"/>
        <v>0.34027777777777779</v>
      </c>
      <c r="Q9" s="59">
        <f t="shared" si="4"/>
        <v>0.34652777777777782</v>
      </c>
      <c r="R9" s="59">
        <f t="shared" si="4"/>
        <v>0.35416666666666674</v>
      </c>
      <c r="S9" s="2">
        <f>SUM(S6-S5-S7-S8)</f>
        <v>0</v>
      </c>
      <c r="T9" s="24">
        <f t="shared" si="2"/>
        <v>4.5951388888888891</v>
      </c>
      <c r="U9" s="27" t="s">
        <v>13</v>
      </c>
    </row>
    <row r="10" spans="1:21" ht="17.7" customHeight="1" x14ac:dyDescent="0.25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7" customHeight="1" x14ac:dyDescent="0.25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7" customHeight="1" x14ac:dyDescent="0.25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7" customHeight="1" x14ac:dyDescent="0.25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7" customHeight="1" x14ac:dyDescent="0.25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7" customHeight="1" x14ac:dyDescent="0.25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7" customHeight="1" thickBot="1" x14ac:dyDescent="0.3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3">
      <c r="A17" s="31" t="s">
        <v>24</v>
      </c>
      <c r="B17" s="4"/>
      <c r="C17" s="4"/>
      <c r="D17" s="4"/>
      <c r="E17" s="4"/>
      <c r="F17" s="4"/>
      <c r="G17" s="4"/>
      <c r="H17" s="98">
        <f>SUM(B9:H9)</f>
        <v>1.7784722222222222</v>
      </c>
      <c r="I17" s="77"/>
      <c r="J17" s="4"/>
      <c r="K17" s="4"/>
      <c r="L17" s="4"/>
      <c r="M17" s="4"/>
      <c r="N17" s="4"/>
      <c r="O17" s="97">
        <f>SUM(I9:O9)</f>
        <v>1.7756944444444447</v>
      </c>
      <c r="P17" s="77"/>
      <c r="Q17" s="4"/>
      <c r="R17" s="4"/>
      <c r="S17" s="78"/>
      <c r="T17" s="102"/>
      <c r="U17" s="18"/>
    </row>
    <row r="18" spans="1:21" ht="18" customHeight="1" thickBot="1" x14ac:dyDescent="0.3">
      <c r="A18" s="32"/>
      <c r="B18" s="5" t="str">
        <f>TEXT(B19, "dddd")</f>
        <v>Saturday</v>
      </c>
      <c r="C18" s="5" t="str">
        <f t="shared" ref="C18:R18" si="5">TEXT(C19, "dddd")</f>
        <v>Sunday</v>
      </c>
      <c r="D18" s="5" t="str">
        <f t="shared" si="5"/>
        <v>Monday</v>
      </c>
      <c r="E18" s="5" t="str">
        <f t="shared" si="5"/>
        <v>Tuesday</v>
      </c>
      <c r="F18" s="5" t="str">
        <f t="shared" si="5"/>
        <v>Wednesday</v>
      </c>
      <c r="G18" s="5" t="str">
        <f t="shared" si="5"/>
        <v>Thursday</v>
      </c>
      <c r="H18" s="5" t="str">
        <f t="shared" si="5"/>
        <v>Friday</v>
      </c>
      <c r="I18" s="5" t="str">
        <f t="shared" si="5"/>
        <v>Saturday</v>
      </c>
      <c r="J18" s="5" t="str">
        <f t="shared" si="5"/>
        <v>Sunday</v>
      </c>
      <c r="K18" s="5" t="str">
        <f t="shared" si="5"/>
        <v>Monday</v>
      </c>
      <c r="L18" s="5" t="str">
        <f t="shared" si="5"/>
        <v>Tuesday</v>
      </c>
      <c r="M18" s="5" t="str">
        <f t="shared" si="5"/>
        <v>Wednesday</v>
      </c>
      <c r="N18" s="5" t="str">
        <f t="shared" si="5"/>
        <v>Thursday</v>
      </c>
      <c r="O18" s="5" t="str">
        <f t="shared" si="5"/>
        <v>Friday</v>
      </c>
      <c r="P18" s="5" t="str">
        <f t="shared" si="5"/>
        <v>Saturday</v>
      </c>
      <c r="Q18" s="5" t="str">
        <f t="shared" si="5"/>
        <v>Sunday</v>
      </c>
      <c r="R18" s="5" t="str">
        <f t="shared" si="5"/>
        <v>Monday</v>
      </c>
      <c r="S18" s="5"/>
      <c r="T18" s="17"/>
      <c r="U18" s="18"/>
    </row>
    <row r="19" spans="1:21" ht="13.5" customHeight="1" thickBot="1" x14ac:dyDescent="0.3">
      <c r="A19" s="20" t="s">
        <v>5</v>
      </c>
      <c r="B19" s="3">
        <f>S4+1</f>
        <v>45766</v>
      </c>
      <c r="C19" s="60">
        <f>B19+1</f>
        <v>45767</v>
      </c>
      <c r="D19" s="48">
        <f>C19+1</f>
        <v>45768</v>
      </c>
      <c r="E19" s="48">
        <f>D19+1</f>
        <v>45769</v>
      </c>
      <c r="F19" s="3">
        <f>E19+1</f>
        <v>45770</v>
      </c>
      <c r="G19" s="3">
        <f t="shared" ref="G19:R19" si="6">F19+1</f>
        <v>45771</v>
      </c>
      <c r="H19" s="3">
        <f t="shared" si="6"/>
        <v>45772</v>
      </c>
      <c r="I19" s="3">
        <f t="shared" si="6"/>
        <v>45773</v>
      </c>
      <c r="J19" s="3">
        <f t="shared" si="6"/>
        <v>45774</v>
      </c>
      <c r="K19" s="70">
        <f t="shared" si="6"/>
        <v>45775</v>
      </c>
      <c r="L19" s="3">
        <f t="shared" si="6"/>
        <v>45776</v>
      </c>
      <c r="M19" s="3">
        <f t="shared" si="6"/>
        <v>45777</v>
      </c>
      <c r="N19" s="48">
        <f t="shared" si="6"/>
        <v>45778</v>
      </c>
      <c r="O19" s="3">
        <f t="shared" si="6"/>
        <v>45779</v>
      </c>
      <c r="P19" s="3">
        <f t="shared" si="6"/>
        <v>45780</v>
      </c>
      <c r="Q19" s="3">
        <f t="shared" si="6"/>
        <v>45781</v>
      </c>
      <c r="R19" s="3">
        <f t="shared" si="6"/>
        <v>45782</v>
      </c>
      <c r="S19" s="61"/>
      <c r="T19" s="17"/>
      <c r="U19" s="18"/>
    </row>
    <row r="20" spans="1:21" ht="18.75" customHeight="1" x14ac:dyDescent="0.25">
      <c r="A20" s="21" t="s">
        <v>6</v>
      </c>
      <c r="B20" s="50"/>
      <c r="C20" s="1"/>
      <c r="D20" s="72"/>
      <c r="E20" s="49">
        <v>0.34375</v>
      </c>
      <c r="F20" s="58">
        <v>0.35416666666666669</v>
      </c>
      <c r="G20" s="49">
        <v>0.33333333333333331</v>
      </c>
      <c r="H20" s="1">
        <v>0.34375</v>
      </c>
      <c r="I20" s="1"/>
      <c r="J20" s="1"/>
      <c r="K20" s="63"/>
      <c r="L20" s="50"/>
      <c r="M20" s="58"/>
      <c r="N20" s="49"/>
      <c r="O20" s="1"/>
      <c r="P20" s="1"/>
      <c r="Q20" s="1"/>
      <c r="R20" s="1"/>
      <c r="S20" s="62"/>
      <c r="T20" s="17"/>
      <c r="U20" s="18"/>
    </row>
    <row r="21" spans="1:21" ht="18.75" customHeight="1" x14ac:dyDescent="0.25">
      <c r="A21" s="21" t="s">
        <v>7</v>
      </c>
      <c r="B21" s="50"/>
      <c r="C21" s="1"/>
      <c r="D21" s="72"/>
      <c r="E21" s="49">
        <v>0.70833333333333337</v>
      </c>
      <c r="F21" s="1">
        <v>0.70833333333333337</v>
      </c>
      <c r="G21" s="49">
        <v>0.70833333333333337</v>
      </c>
      <c r="H21" s="1">
        <v>0.70833333333333337</v>
      </c>
      <c r="I21" s="1"/>
      <c r="J21" s="1"/>
      <c r="K21" s="63"/>
      <c r="L21" s="50"/>
      <c r="M21" s="1"/>
      <c r="N21" s="49"/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5">
      <c r="A22" s="23" t="s">
        <v>9</v>
      </c>
      <c r="B22" s="50"/>
      <c r="C22" s="1"/>
      <c r="D22" s="72"/>
      <c r="E22" s="49">
        <v>2.0833333333333332E-2</v>
      </c>
      <c r="F22" s="1">
        <v>2.0833333333333332E-2</v>
      </c>
      <c r="G22" s="49">
        <v>2.0833333333333332E-2</v>
      </c>
      <c r="H22" s="1">
        <v>2.0833333333333332E-2</v>
      </c>
      <c r="I22" s="105"/>
      <c r="J22" s="1"/>
      <c r="K22" s="63"/>
      <c r="L22" s="50"/>
      <c r="M22" s="1"/>
      <c r="N22" s="49"/>
      <c r="O22" s="67"/>
      <c r="P22" s="67"/>
      <c r="Q22" s="1"/>
      <c r="R22" s="1"/>
      <c r="S22" s="62"/>
      <c r="T22" s="24">
        <f t="shared" ref="T22:T31" si="7">SUM(B22:R22)</f>
        <v>8.3333333333333329E-2</v>
      </c>
      <c r="U22" s="25" t="s">
        <v>9</v>
      </c>
    </row>
    <row r="23" spans="1:21" ht="18.75" customHeight="1" x14ac:dyDescent="0.25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5">
      <c r="A24" s="23" t="s">
        <v>12</v>
      </c>
      <c r="B24" s="52">
        <f>SUM(B21-B20-B22-B23)</f>
        <v>0</v>
      </c>
      <c r="C24" s="2">
        <f>SUM(C21-C20-C22-C23)</f>
        <v>0</v>
      </c>
      <c r="D24" s="53">
        <f t="shared" ref="D24:J24" si="8">SUM(D21-D20-D22-D23)</f>
        <v>0</v>
      </c>
      <c r="E24" s="2">
        <f t="shared" si="8"/>
        <v>0.34375000000000006</v>
      </c>
      <c r="F24" s="59">
        <f t="shared" si="8"/>
        <v>0.33333333333333337</v>
      </c>
      <c r="G24" s="2">
        <f t="shared" si="8"/>
        <v>0.35416666666666674</v>
      </c>
      <c r="H24" s="2">
        <f>SUM(H21-H20-H22-H23)</f>
        <v>0.34375000000000006</v>
      </c>
      <c r="I24" s="2">
        <f>SUM(I21-I20-I22-I23)</f>
        <v>0</v>
      </c>
      <c r="J24" s="2">
        <f t="shared" si="8"/>
        <v>0</v>
      </c>
      <c r="K24" s="64">
        <f>SUM(K21-K20-K22-K23)</f>
        <v>0</v>
      </c>
      <c r="L24" s="52">
        <f t="shared" ref="L24:R24" si="9">SUM(L21-L20-L22-L23)</f>
        <v>0</v>
      </c>
      <c r="M24" s="59">
        <f t="shared" si="9"/>
        <v>0</v>
      </c>
      <c r="N24" s="2">
        <f t="shared" si="9"/>
        <v>0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1.3750000000000002</v>
      </c>
      <c r="U24" s="25" t="s">
        <v>13</v>
      </c>
    </row>
    <row r="25" spans="1:21" ht="18.75" customHeight="1" x14ac:dyDescent="0.25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5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5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5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5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5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3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3">
      <c r="A32" s="31" t="s">
        <v>24</v>
      </c>
      <c r="B32" s="4"/>
      <c r="C32" s="6"/>
      <c r="D32" s="97">
        <f>SUM(P9:S9,B24:D24)</f>
        <v>1.0409722222222224</v>
      </c>
      <c r="E32" s="77"/>
      <c r="F32" s="4"/>
      <c r="G32" s="4"/>
      <c r="H32" s="4"/>
      <c r="I32" s="4"/>
      <c r="J32" s="4"/>
      <c r="K32" s="97">
        <f>SUM(E24:K24)</f>
        <v>1.3750000000000002</v>
      </c>
      <c r="L32" s="4"/>
      <c r="M32" s="4"/>
      <c r="N32" s="4"/>
      <c r="O32" s="4"/>
      <c r="P32" s="4"/>
      <c r="Q32" s="4"/>
      <c r="R32" s="98">
        <f>SUM(L24:R24)</f>
        <v>0</v>
      </c>
      <c r="S32" s="103"/>
      <c r="T32" s="13"/>
      <c r="U32" s="18"/>
    </row>
    <row r="33" spans="1:21" ht="10.5" customHeight="1" x14ac:dyDescent="0.25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5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5">
      <c r="A35" s="34" t="s">
        <v>28</v>
      </c>
      <c r="B35" s="85">
        <f>SUM(T9+T24)</f>
        <v>5.9701388888888891</v>
      </c>
      <c r="C35" s="86">
        <f>B35*24</f>
        <v>143.28333333333333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702</v>
      </c>
      <c r="P35" s="86">
        <f>M35*O35</f>
        <v>0</v>
      </c>
      <c r="Q35" s="95" t="s">
        <v>31</v>
      </c>
      <c r="U35" s="39"/>
    </row>
    <row r="36" spans="1:21" ht="21" customHeight="1" x14ac:dyDescent="0.25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5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5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5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5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5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5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5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8" thickBot="1" x14ac:dyDescent="0.3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3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5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Sinha, Amit (175-Extern-DSK)</cp:lastModifiedBy>
  <cp:lastPrinted>2017-10-12T11:06:24Z</cp:lastPrinted>
  <dcterms:created xsi:type="dcterms:W3CDTF">2005-04-09T02:21:56Z</dcterms:created>
  <dcterms:modified xsi:type="dcterms:W3CDTF">2025-04-25T14:30:14Z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